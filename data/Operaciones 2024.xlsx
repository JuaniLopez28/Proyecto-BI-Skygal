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296\Documents\Juan Ignacio\Cursos\Coderhouse\Business Analytics\Desarrollo\"/>
    </mc:Choice>
  </mc:AlternateContent>
  <xr:revisionPtr revIDLastSave="0" documentId="13_ncr:1_{36EA255A-26FA-42B9-AA0E-62CFDA80BF33}" xr6:coauthVersionLast="47" xr6:coauthVersionMax="47" xr10:uidLastSave="{00000000-0000-0000-0000-000000000000}"/>
  <bookViews>
    <workbookView xWindow="-19320" yWindow="615" windowWidth="19440" windowHeight="10440" firstSheet="5" activeTab="7" xr2:uid="{00000000-000D-0000-FFFF-FFFF00000000}"/>
  </bookViews>
  <sheets>
    <sheet name="Base de datos 2024" sheetId="1" r:id="rId1"/>
    <sheet name="Estadística Descriptiva 1" sheetId="2" r:id="rId2"/>
    <sheet name="Dist operaciones por segmento" sheetId="3" r:id="rId3"/>
    <sheet name="Peso segmento en términos monet" sheetId="4" r:id="rId4"/>
    <sheet name="Eventos particulares" sheetId="5" r:id="rId5"/>
    <sheet name="Estadística Descriptiva 2" sheetId="7" r:id="rId6"/>
    <sheet name="Base de datos 2024 2" sheetId="8" r:id="rId7"/>
    <sheet name="Corrección - Agregación" sheetId="19" r:id="rId8"/>
    <sheet name="1° Relación" sheetId="11" r:id="rId9"/>
    <sheet name="2° Relación" sheetId="12" r:id="rId10"/>
    <sheet name="Base de datos histórica" sheetId="13" r:id="rId11"/>
    <sheet name="3° Relación" sheetId="14" r:id="rId12"/>
    <sheet name="Análisis predictivo" sheetId="17" r:id="rId13"/>
    <sheet name="Análisis de escenarios" sheetId="18" r:id="rId14"/>
  </sheets>
  <definedNames>
    <definedName name="_xlnm._FilterDatabase" localSheetId="0" hidden="1">'Base de datos 2024'!$B$1:$I$1</definedName>
    <definedName name="_xlnm._FilterDatabase" localSheetId="6" hidden="1">'Base de datos 2024 2'!$A$1:$H$143</definedName>
  </definedNames>
  <calcPr calcId="191029" concurrentCalc="0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9" l="1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2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96" i="19"/>
  <c r="B97" i="19"/>
  <c r="B98" i="19"/>
  <c r="B99" i="19"/>
  <c r="B100" i="19"/>
  <c r="B2" i="19"/>
  <c r="D5" i="18"/>
  <c r="D3" i="18"/>
  <c r="C5" i="18"/>
  <c r="C3" i="18"/>
  <c r="M2" i="13"/>
  <c r="N6" i="13"/>
  <c r="O6" i="13"/>
  <c r="P6" i="13"/>
  <c r="Q6" i="13"/>
  <c r="R6" i="13"/>
  <c r="M6" i="13"/>
  <c r="N5" i="13"/>
  <c r="O5" i="13"/>
  <c r="P5" i="13"/>
  <c r="Q5" i="13"/>
  <c r="R5" i="13"/>
  <c r="M5" i="13"/>
  <c r="N4" i="13"/>
  <c r="O4" i="13"/>
  <c r="P4" i="13"/>
  <c r="Q4" i="13"/>
  <c r="R4" i="13"/>
  <c r="M4" i="13"/>
  <c r="N3" i="13"/>
  <c r="O3" i="13"/>
  <c r="P3" i="13"/>
  <c r="Q3" i="13"/>
  <c r="R3" i="13"/>
  <c r="M3" i="13"/>
  <c r="N2" i="13"/>
  <c r="O2" i="13"/>
  <c r="P2" i="13"/>
  <c r="Q2" i="13"/>
  <c r="R2" i="13"/>
  <c r="B2" i="1"/>
  <c r="B87" i="1"/>
  <c r="B88" i="1"/>
  <c r="B89" i="1"/>
  <c r="B124" i="1"/>
  <c r="B172" i="1"/>
  <c r="B173" i="1"/>
  <c r="B174" i="1"/>
  <c r="B214" i="1"/>
  <c r="B215" i="1"/>
  <c r="B254" i="1"/>
  <c r="B255" i="1"/>
  <c r="B291" i="1"/>
  <c r="B292" i="1"/>
  <c r="B338" i="1"/>
  <c r="B339" i="1"/>
  <c r="B340" i="1"/>
  <c r="B377" i="1"/>
  <c r="B378" i="1"/>
  <c r="B426" i="1"/>
  <c r="B44" i="1"/>
  <c r="B45" i="1"/>
  <c r="B90" i="1"/>
  <c r="B125" i="1"/>
  <c r="B175" i="1"/>
  <c r="B176" i="1"/>
  <c r="B177" i="1"/>
  <c r="B216" i="1"/>
  <c r="B217" i="1"/>
  <c r="B256" i="1"/>
  <c r="B341" i="1"/>
  <c r="B379" i="1"/>
  <c r="B427" i="1"/>
  <c r="B467" i="1"/>
  <c r="B3" i="1"/>
  <c r="B178" i="1"/>
  <c r="B179" i="1"/>
  <c r="B180" i="1"/>
  <c r="B257" i="1"/>
  <c r="B258" i="1"/>
  <c r="B259" i="1"/>
  <c r="B293" i="1"/>
  <c r="B294" i="1"/>
  <c r="B342" i="1"/>
  <c r="B343" i="1"/>
  <c r="B380" i="1"/>
  <c r="B381" i="1"/>
  <c r="B382" i="1"/>
  <c r="B428" i="1"/>
  <c r="B429" i="1"/>
  <c r="B430" i="1"/>
  <c r="B468" i="1"/>
  <c r="B469" i="1"/>
  <c r="B4" i="1"/>
  <c r="B46" i="1"/>
  <c r="B91" i="1"/>
  <c r="B126" i="1"/>
  <c r="B127" i="1"/>
  <c r="B128" i="1"/>
  <c r="B181" i="1"/>
  <c r="B182" i="1"/>
  <c r="B383" i="1"/>
  <c r="B384" i="1"/>
  <c r="B385" i="1"/>
  <c r="B470" i="1"/>
  <c r="B5" i="1"/>
  <c r="B6" i="1"/>
  <c r="B7" i="1"/>
  <c r="B47" i="1"/>
  <c r="B48" i="1"/>
  <c r="B49" i="1"/>
  <c r="B50" i="1"/>
  <c r="B129" i="1"/>
  <c r="B183" i="1"/>
  <c r="B218" i="1"/>
  <c r="B260" i="1"/>
  <c r="B295" i="1"/>
  <c r="B296" i="1"/>
  <c r="B344" i="1"/>
  <c r="B345" i="1"/>
  <c r="B386" i="1"/>
  <c r="B387" i="1"/>
  <c r="B388" i="1"/>
  <c r="B431" i="1"/>
  <c r="B471" i="1"/>
  <c r="B472" i="1"/>
  <c r="B51" i="1"/>
  <c r="B52" i="1"/>
  <c r="B53" i="1"/>
  <c r="B92" i="1"/>
  <c r="B93" i="1"/>
  <c r="B130" i="1"/>
  <c r="B131" i="1"/>
  <c r="B184" i="1"/>
  <c r="B185" i="1"/>
  <c r="B186" i="1"/>
  <c r="B261" i="1"/>
  <c r="B346" i="1"/>
  <c r="B347" i="1"/>
  <c r="B389" i="1"/>
  <c r="B432" i="1"/>
  <c r="B8" i="1"/>
  <c r="B187" i="1"/>
  <c r="B297" i="1"/>
  <c r="B298" i="1"/>
  <c r="B348" i="1"/>
  <c r="B390" i="1"/>
  <c r="B433" i="1"/>
  <c r="B434" i="1"/>
  <c r="B54" i="1"/>
  <c r="B132" i="1"/>
  <c r="B133" i="1"/>
  <c r="B219" i="1"/>
  <c r="B262" i="1"/>
  <c r="B263" i="1"/>
  <c r="B299" i="1"/>
  <c r="B300" i="1"/>
  <c r="B301" i="1"/>
  <c r="B349" i="1"/>
  <c r="B391" i="1"/>
  <c r="B435" i="1"/>
  <c r="B436" i="1"/>
  <c r="B473" i="1"/>
  <c r="B9" i="1"/>
  <c r="B10" i="1"/>
  <c r="B11" i="1"/>
  <c r="B55" i="1"/>
  <c r="B134" i="1"/>
  <c r="B135" i="1"/>
  <c r="B188" i="1"/>
  <c r="B189" i="1"/>
  <c r="B220" i="1"/>
  <c r="B264" i="1"/>
  <c r="B302" i="1"/>
  <c r="B392" i="1"/>
  <c r="B393" i="1"/>
  <c r="B394" i="1"/>
  <c r="B437" i="1"/>
  <c r="B438" i="1"/>
  <c r="B474" i="1"/>
  <c r="B56" i="1"/>
  <c r="B136" i="1"/>
  <c r="B190" i="1"/>
  <c r="B191" i="1"/>
  <c r="B192" i="1"/>
  <c r="B221" i="1"/>
  <c r="B222" i="1"/>
  <c r="B265" i="1"/>
  <c r="B266" i="1"/>
  <c r="B303" i="1"/>
  <c r="B350" i="1"/>
  <c r="B351" i="1"/>
  <c r="B395" i="1"/>
  <c r="B12" i="1"/>
  <c r="B13" i="1"/>
  <c r="B57" i="1"/>
  <c r="B58" i="1"/>
  <c r="B59" i="1"/>
  <c r="B60" i="1"/>
  <c r="B94" i="1"/>
  <c r="B95" i="1"/>
  <c r="B96" i="1"/>
  <c r="B137" i="1"/>
  <c r="B138" i="1"/>
  <c r="B193" i="1"/>
  <c r="B223" i="1"/>
  <c r="B224" i="1"/>
  <c r="B304" i="1"/>
  <c r="B439" i="1"/>
  <c r="B440" i="1"/>
  <c r="B441" i="1"/>
  <c r="B442" i="1"/>
  <c r="B14" i="1"/>
  <c r="B61" i="1"/>
  <c r="B97" i="1"/>
  <c r="B98" i="1"/>
  <c r="B139" i="1"/>
  <c r="B225" i="1"/>
  <c r="B226" i="1"/>
  <c r="B227" i="1"/>
  <c r="B228" i="1"/>
  <c r="B267" i="1"/>
  <c r="B305" i="1"/>
  <c r="B306" i="1"/>
  <c r="B352" i="1"/>
  <c r="B353" i="1"/>
  <c r="B475" i="1"/>
  <c r="B15" i="1"/>
  <c r="B62" i="1"/>
  <c r="B63" i="1"/>
  <c r="B99" i="1"/>
  <c r="B140" i="1"/>
  <c r="B141" i="1"/>
  <c r="B142" i="1"/>
  <c r="B194" i="1"/>
  <c r="B229" i="1"/>
  <c r="B268" i="1"/>
  <c r="B269" i="1"/>
  <c r="B270" i="1"/>
  <c r="B307" i="1"/>
  <c r="B308" i="1"/>
  <c r="B354" i="1"/>
  <c r="B355" i="1"/>
  <c r="B396" i="1"/>
  <c r="B397" i="1"/>
  <c r="B443" i="1"/>
  <c r="B476" i="1"/>
  <c r="B477" i="1"/>
  <c r="B478" i="1"/>
  <c r="B16" i="1"/>
  <c r="B17" i="1"/>
  <c r="B18" i="1"/>
  <c r="B100" i="1"/>
  <c r="B143" i="1"/>
  <c r="B144" i="1"/>
  <c r="B195" i="1"/>
  <c r="B196" i="1"/>
  <c r="B197" i="1"/>
  <c r="B198" i="1"/>
  <c r="B230" i="1"/>
  <c r="B231" i="1"/>
  <c r="B271" i="1"/>
  <c r="B272" i="1"/>
  <c r="B398" i="1"/>
  <c r="B444" i="1"/>
  <c r="B445" i="1"/>
  <c r="B446" i="1"/>
  <c r="B479" i="1"/>
  <c r="B19" i="1"/>
  <c r="B20" i="1"/>
  <c r="B64" i="1"/>
  <c r="B145" i="1"/>
  <c r="B146" i="1"/>
  <c r="B199" i="1"/>
  <c r="B232" i="1"/>
  <c r="B233" i="1"/>
  <c r="B273" i="1"/>
  <c r="B309" i="1"/>
  <c r="B310" i="1"/>
  <c r="B356" i="1"/>
  <c r="B399" i="1"/>
  <c r="B400" i="1"/>
  <c r="B401" i="1"/>
  <c r="B480" i="1"/>
  <c r="B481" i="1"/>
  <c r="B482" i="1"/>
  <c r="B65" i="1"/>
  <c r="B147" i="1"/>
  <c r="B148" i="1"/>
  <c r="B200" i="1"/>
  <c r="B234" i="1"/>
  <c r="B311" i="1"/>
  <c r="B312" i="1"/>
  <c r="B313" i="1"/>
  <c r="B357" i="1"/>
  <c r="B358" i="1"/>
  <c r="B447" i="1"/>
  <c r="B448" i="1"/>
  <c r="B449" i="1"/>
  <c r="B450" i="1"/>
  <c r="B66" i="1"/>
  <c r="B149" i="1"/>
  <c r="B150" i="1"/>
  <c r="B201" i="1"/>
  <c r="B235" i="1"/>
  <c r="B236" i="1"/>
  <c r="B274" i="1"/>
  <c r="B314" i="1"/>
  <c r="B315" i="1"/>
  <c r="B359" i="1"/>
  <c r="B360" i="1"/>
  <c r="B402" i="1"/>
  <c r="B21" i="1"/>
  <c r="B22" i="1"/>
  <c r="B23" i="1"/>
  <c r="B67" i="1"/>
  <c r="B68" i="1"/>
  <c r="B69" i="1"/>
  <c r="B70" i="1"/>
  <c r="B101" i="1"/>
  <c r="B102" i="1"/>
  <c r="B103" i="1"/>
  <c r="B151" i="1"/>
  <c r="B152" i="1"/>
  <c r="B202" i="1"/>
  <c r="B237" i="1"/>
  <c r="B238" i="1"/>
  <c r="B239" i="1"/>
  <c r="B275" i="1"/>
  <c r="B316" i="1"/>
  <c r="B317" i="1"/>
  <c r="B361" i="1"/>
  <c r="B362" i="1"/>
  <c r="B71" i="1"/>
  <c r="B72" i="1"/>
  <c r="B104" i="1"/>
  <c r="B105" i="1"/>
  <c r="B240" i="1"/>
  <c r="B241" i="1"/>
  <c r="B276" i="1"/>
  <c r="B318" i="1"/>
  <c r="B363" i="1"/>
  <c r="B364" i="1"/>
  <c r="B403" i="1"/>
  <c r="B404" i="1"/>
  <c r="B405" i="1"/>
  <c r="B483" i="1"/>
  <c r="B484" i="1"/>
  <c r="B485" i="1"/>
  <c r="B24" i="1"/>
  <c r="B73" i="1"/>
  <c r="B74" i="1"/>
  <c r="B106" i="1"/>
  <c r="B107" i="1"/>
  <c r="B108" i="1"/>
  <c r="B153" i="1"/>
  <c r="B242" i="1"/>
  <c r="B243" i="1"/>
  <c r="B277" i="1"/>
  <c r="B319" i="1"/>
  <c r="B320" i="1"/>
  <c r="B321" i="1"/>
  <c r="B322" i="1"/>
  <c r="B365" i="1"/>
  <c r="B366" i="1"/>
  <c r="B367" i="1"/>
  <c r="B368" i="1"/>
  <c r="B406" i="1"/>
  <c r="B407" i="1"/>
  <c r="B408" i="1"/>
  <c r="B451" i="1"/>
  <c r="B486" i="1"/>
  <c r="B25" i="1"/>
  <c r="B75" i="1"/>
  <c r="B76" i="1"/>
  <c r="B77" i="1"/>
  <c r="B78" i="1"/>
  <c r="B109" i="1"/>
  <c r="B110" i="1"/>
  <c r="B154" i="1"/>
  <c r="B155" i="1"/>
  <c r="B156" i="1"/>
  <c r="B244" i="1"/>
  <c r="B278" i="1"/>
  <c r="B323" i="1"/>
  <c r="B324" i="1"/>
  <c r="B409" i="1"/>
  <c r="B487" i="1"/>
  <c r="B79" i="1"/>
  <c r="B80" i="1"/>
  <c r="B111" i="1"/>
  <c r="B112" i="1"/>
  <c r="B113" i="1"/>
  <c r="B157" i="1"/>
  <c r="B245" i="1"/>
  <c r="B279" i="1"/>
  <c r="B280" i="1"/>
  <c r="B325" i="1"/>
  <c r="B369" i="1"/>
  <c r="B410" i="1"/>
  <c r="B411" i="1"/>
  <c r="B412" i="1"/>
  <c r="B452" i="1"/>
  <c r="B488" i="1"/>
  <c r="B489" i="1"/>
  <c r="B490" i="1"/>
  <c r="B491" i="1"/>
  <c r="B492" i="1"/>
  <c r="B26" i="1"/>
  <c r="B27" i="1"/>
  <c r="B114" i="1"/>
  <c r="B115" i="1"/>
  <c r="B116" i="1"/>
  <c r="B158" i="1"/>
  <c r="B203" i="1"/>
  <c r="B204" i="1"/>
  <c r="B246" i="1"/>
  <c r="B281" i="1"/>
  <c r="B453" i="1"/>
  <c r="B493" i="1"/>
  <c r="B494" i="1"/>
  <c r="B28" i="1"/>
  <c r="B29" i="1"/>
  <c r="B117" i="1"/>
  <c r="B205" i="1"/>
  <c r="B206" i="1"/>
  <c r="B247" i="1"/>
  <c r="B248" i="1"/>
  <c r="B282" i="1"/>
  <c r="B370" i="1"/>
  <c r="B413" i="1"/>
  <c r="B414" i="1"/>
  <c r="B454" i="1"/>
  <c r="B455" i="1"/>
  <c r="B456" i="1"/>
  <c r="B457" i="1"/>
  <c r="B495" i="1"/>
  <c r="B30" i="1"/>
  <c r="B31" i="1"/>
  <c r="B32" i="1"/>
  <c r="B159" i="1"/>
  <c r="B283" i="1"/>
  <c r="B284" i="1"/>
  <c r="B326" i="1"/>
  <c r="B327" i="1"/>
  <c r="B371" i="1"/>
  <c r="B415" i="1"/>
  <c r="B416" i="1"/>
  <c r="B458" i="1"/>
  <c r="B459" i="1"/>
  <c r="B496" i="1"/>
  <c r="B497" i="1"/>
  <c r="B33" i="1"/>
  <c r="B160" i="1"/>
  <c r="B161" i="1"/>
  <c r="B162" i="1"/>
  <c r="B207" i="1"/>
  <c r="B208" i="1"/>
  <c r="B209" i="1"/>
  <c r="B249" i="1"/>
  <c r="B285" i="1"/>
  <c r="B328" i="1"/>
  <c r="B372" i="1"/>
  <c r="B373" i="1"/>
  <c r="B417" i="1"/>
  <c r="B418" i="1"/>
  <c r="B419" i="1"/>
  <c r="B498" i="1"/>
  <c r="B499" i="1"/>
  <c r="B34" i="1"/>
  <c r="B81" i="1"/>
  <c r="B82" i="1"/>
  <c r="B83" i="1"/>
  <c r="B118" i="1"/>
  <c r="B250" i="1"/>
  <c r="B286" i="1"/>
  <c r="B287" i="1"/>
  <c r="B288" i="1"/>
  <c r="B329" i="1"/>
  <c r="B330" i="1"/>
  <c r="B420" i="1"/>
  <c r="B460" i="1"/>
  <c r="B461" i="1"/>
  <c r="B462" i="1"/>
  <c r="B500" i="1"/>
  <c r="B501" i="1"/>
  <c r="B502" i="1"/>
  <c r="B35" i="1"/>
  <c r="B36" i="1"/>
  <c r="B37" i="1"/>
  <c r="B84" i="1"/>
  <c r="B85" i="1"/>
  <c r="B119" i="1"/>
  <c r="B120" i="1"/>
  <c r="B163" i="1"/>
  <c r="B210" i="1"/>
  <c r="B251" i="1"/>
  <c r="B252" i="1"/>
  <c r="B331" i="1"/>
  <c r="B332" i="1"/>
  <c r="B374" i="1"/>
  <c r="B375" i="1"/>
  <c r="B421" i="1"/>
  <c r="B463" i="1"/>
  <c r="B464" i="1"/>
  <c r="B503" i="1"/>
  <c r="B504" i="1"/>
  <c r="B505" i="1"/>
  <c r="B38" i="1"/>
  <c r="B86" i="1"/>
  <c r="B121" i="1"/>
  <c r="B164" i="1"/>
  <c r="B165" i="1"/>
  <c r="B166" i="1"/>
  <c r="B167" i="1"/>
  <c r="B253" i="1"/>
  <c r="B333" i="1"/>
  <c r="B334" i="1"/>
  <c r="B376" i="1"/>
  <c r="B422" i="1"/>
  <c r="B465" i="1"/>
  <c r="B39" i="1"/>
  <c r="B122" i="1"/>
  <c r="B168" i="1"/>
  <c r="B169" i="1"/>
  <c r="B170" i="1"/>
  <c r="B171" i="1"/>
  <c r="B289" i="1"/>
  <c r="B423" i="1"/>
  <c r="B466" i="1"/>
  <c r="B506" i="1"/>
  <c r="B507" i="1"/>
  <c r="B508" i="1"/>
  <c r="B40" i="1"/>
  <c r="B41" i="1"/>
  <c r="B42" i="1"/>
  <c r="B43" i="1"/>
  <c r="B123" i="1"/>
  <c r="B211" i="1"/>
  <c r="B212" i="1"/>
  <c r="B213" i="1"/>
  <c r="B290" i="1"/>
  <c r="B335" i="1"/>
  <c r="B336" i="1"/>
  <c r="B337" i="1"/>
  <c r="B424" i="1"/>
  <c r="B425" i="1"/>
  <c r="G87" i="1" a="1"/>
  <c r="G87" i="1"/>
  <c r="H87" i="1"/>
  <c r="I87" i="1"/>
  <c r="G88" i="1" a="1"/>
  <c r="G88" i="1"/>
  <c r="H88" i="1"/>
  <c r="I88" i="1"/>
  <c r="G89" i="1" a="1"/>
  <c r="G89" i="1"/>
  <c r="H89" i="1"/>
  <c r="I89" i="1"/>
  <c r="G124" i="1" a="1"/>
  <c r="G124" i="1"/>
  <c r="H124" i="1"/>
  <c r="I124" i="1"/>
  <c r="G172" i="1" a="1"/>
  <c r="G172" i="1"/>
  <c r="H172" i="1"/>
  <c r="I172" i="1"/>
  <c r="G173" i="1" a="1"/>
  <c r="G173" i="1"/>
  <c r="H173" i="1"/>
  <c r="I173" i="1"/>
  <c r="G174" i="1" a="1"/>
  <c r="G174" i="1"/>
  <c r="H174" i="1"/>
  <c r="I174" i="1"/>
  <c r="G214" i="1" a="1"/>
  <c r="G214" i="1"/>
  <c r="H214" i="1"/>
  <c r="I214" i="1"/>
  <c r="G215" i="1" a="1"/>
  <c r="G215" i="1"/>
  <c r="H215" i="1"/>
  <c r="I215" i="1"/>
  <c r="G254" i="1" a="1"/>
  <c r="G254" i="1"/>
  <c r="H254" i="1"/>
  <c r="I254" i="1"/>
  <c r="G255" i="1" a="1"/>
  <c r="G255" i="1"/>
  <c r="H255" i="1"/>
  <c r="I255" i="1"/>
  <c r="G291" i="1" a="1"/>
  <c r="G291" i="1"/>
  <c r="H291" i="1"/>
  <c r="I291" i="1"/>
  <c r="G292" i="1" a="1"/>
  <c r="G292" i="1"/>
  <c r="H292" i="1"/>
  <c r="I292" i="1"/>
  <c r="G338" i="1" a="1"/>
  <c r="G338" i="1"/>
  <c r="H338" i="1"/>
  <c r="I338" i="1"/>
  <c r="G339" i="1" a="1"/>
  <c r="G339" i="1"/>
  <c r="H339" i="1"/>
  <c r="I339" i="1"/>
  <c r="G340" i="1" a="1"/>
  <c r="G340" i="1"/>
  <c r="H340" i="1"/>
  <c r="I340" i="1"/>
  <c r="G377" i="1" a="1"/>
  <c r="G377" i="1"/>
  <c r="H377" i="1"/>
  <c r="I377" i="1"/>
  <c r="G378" i="1" a="1"/>
  <c r="G378" i="1"/>
  <c r="H378" i="1"/>
  <c r="I378" i="1"/>
  <c r="G426" i="1" a="1"/>
  <c r="G426" i="1"/>
  <c r="H426" i="1"/>
  <c r="I426" i="1"/>
  <c r="G44" i="1" a="1"/>
  <c r="G44" i="1"/>
  <c r="H44" i="1"/>
  <c r="I44" i="1"/>
  <c r="G45" i="1" a="1"/>
  <c r="G45" i="1"/>
  <c r="H45" i="1"/>
  <c r="I45" i="1"/>
  <c r="G90" i="1" a="1"/>
  <c r="G90" i="1"/>
  <c r="H90" i="1"/>
  <c r="I90" i="1"/>
  <c r="G125" i="1" a="1"/>
  <c r="G125" i="1"/>
  <c r="H125" i="1"/>
  <c r="I125" i="1"/>
  <c r="G175" i="1" a="1"/>
  <c r="G175" i="1"/>
  <c r="H175" i="1"/>
  <c r="I175" i="1"/>
  <c r="G176" i="1" a="1"/>
  <c r="G176" i="1"/>
  <c r="H176" i="1"/>
  <c r="I176" i="1"/>
  <c r="G177" i="1" a="1"/>
  <c r="G177" i="1"/>
  <c r="H177" i="1"/>
  <c r="I177" i="1"/>
  <c r="G216" i="1" a="1"/>
  <c r="G216" i="1"/>
  <c r="H216" i="1"/>
  <c r="I216" i="1"/>
  <c r="G217" i="1" a="1"/>
  <c r="G217" i="1"/>
  <c r="H217" i="1"/>
  <c r="I217" i="1"/>
  <c r="G256" i="1" a="1"/>
  <c r="G256" i="1"/>
  <c r="H256" i="1"/>
  <c r="I256" i="1"/>
  <c r="G341" i="1" a="1"/>
  <c r="G341" i="1"/>
  <c r="H341" i="1"/>
  <c r="I341" i="1"/>
  <c r="G379" i="1" a="1"/>
  <c r="G379" i="1"/>
  <c r="H379" i="1"/>
  <c r="I379" i="1"/>
  <c r="G427" i="1" a="1"/>
  <c r="G427" i="1"/>
  <c r="H427" i="1"/>
  <c r="I427" i="1"/>
  <c r="G467" i="1" a="1"/>
  <c r="G467" i="1"/>
  <c r="H467" i="1"/>
  <c r="I467" i="1"/>
  <c r="G3" i="1" a="1"/>
  <c r="G3" i="1"/>
  <c r="H3" i="1"/>
  <c r="I3" i="1"/>
  <c r="G178" i="1" a="1"/>
  <c r="G178" i="1"/>
  <c r="H178" i="1"/>
  <c r="I178" i="1"/>
  <c r="G179" i="1" a="1"/>
  <c r="G179" i="1"/>
  <c r="H179" i="1"/>
  <c r="I179" i="1"/>
  <c r="G180" i="1" a="1"/>
  <c r="G180" i="1"/>
  <c r="H180" i="1"/>
  <c r="I180" i="1"/>
  <c r="G257" i="1" a="1"/>
  <c r="G257" i="1"/>
  <c r="H257" i="1"/>
  <c r="I257" i="1"/>
  <c r="G258" i="1" a="1"/>
  <c r="G258" i="1"/>
  <c r="H258" i="1"/>
  <c r="I258" i="1"/>
  <c r="G259" i="1" a="1"/>
  <c r="G259" i="1"/>
  <c r="H259" i="1"/>
  <c r="I259" i="1"/>
  <c r="G293" i="1" a="1"/>
  <c r="G293" i="1"/>
  <c r="H293" i="1"/>
  <c r="I293" i="1"/>
  <c r="G294" i="1" a="1"/>
  <c r="G294" i="1"/>
  <c r="H294" i="1"/>
  <c r="I294" i="1"/>
  <c r="G342" i="1" a="1"/>
  <c r="G342" i="1"/>
  <c r="H342" i="1"/>
  <c r="I342" i="1"/>
  <c r="G343" i="1" a="1"/>
  <c r="G343" i="1"/>
  <c r="H343" i="1"/>
  <c r="I343" i="1"/>
  <c r="G380" i="1" a="1"/>
  <c r="G380" i="1"/>
  <c r="H380" i="1"/>
  <c r="I380" i="1"/>
  <c r="G381" i="1" a="1"/>
  <c r="G381" i="1"/>
  <c r="H381" i="1"/>
  <c r="I381" i="1"/>
  <c r="G382" i="1" a="1"/>
  <c r="G382" i="1"/>
  <c r="H382" i="1"/>
  <c r="I382" i="1"/>
  <c r="G428" i="1" a="1"/>
  <c r="G428" i="1"/>
  <c r="H428" i="1"/>
  <c r="I428" i="1"/>
  <c r="G429" i="1" a="1"/>
  <c r="G429" i="1"/>
  <c r="H429" i="1"/>
  <c r="I429" i="1"/>
  <c r="G430" i="1" a="1"/>
  <c r="G430" i="1"/>
  <c r="H430" i="1"/>
  <c r="I430" i="1"/>
  <c r="G468" i="1" a="1"/>
  <c r="G468" i="1"/>
  <c r="H468" i="1"/>
  <c r="I468" i="1"/>
  <c r="G469" i="1" a="1"/>
  <c r="G469" i="1"/>
  <c r="H469" i="1"/>
  <c r="I469" i="1"/>
  <c r="G4" i="1" a="1"/>
  <c r="G4" i="1"/>
  <c r="H4" i="1"/>
  <c r="I4" i="1"/>
  <c r="G46" i="1" a="1"/>
  <c r="G46" i="1"/>
  <c r="H46" i="1"/>
  <c r="I46" i="1"/>
  <c r="G91" i="1" a="1"/>
  <c r="G91" i="1"/>
  <c r="H91" i="1"/>
  <c r="I91" i="1"/>
  <c r="G126" i="1" a="1"/>
  <c r="G126" i="1"/>
  <c r="H126" i="1"/>
  <c r="I126" i="1"/>
  <c r="G127" i="1" a="1"/>
  <c r="G127" i="1"/>
  <c r="H127" i="1"/>
  <c r="I127" i="1"/>
  <c r="G128" i="1" a="1"/>
  <c r="G128" i="1"/>
  <c r="H128" i="1"/>
  <c r="I128" i="1"/>
  <c r="G181" i="1" a="1"/>
  <c r="G181" i="1"/>
  <c r="H181" i="1"/>
  <c r="I181" i="1"/>
  <c r="G182" i="1" a="1"/>
  <c r="G182" i="1"/>
  <c r="H182" i="1"/>
  <c r="I182" i="1"/>
  <c r="G383" i="1" a="1"/>
  <c r="G383" i="1"/>
  <c r="H383" i="1"/>
  <c r="I383" i="1"/>
  <c r="G384" i="1" a="1"/>
  <c r="G384" i="1"/>
  <c r="H384" i="1"/>
  <c r="I384" i="1"/>
  <c r="G385" i="1" a="1"/>
  <c r="G385" i="1"/>
  <c r="H385" i="1"/>
  <c r="I385" i="1"/>
  <c r="G470" i="1" a="1"/>
  <c r="G470" i="1"/>
  <c r="H470" i="1"/>
  <c r="I470" i="1"/>
  <c r="G5" i="1" a="1"/>
  <c r="G5" i="1"/>
  <c r="H5" i="1"/>
  <c r="I5" i="1"/>
  <c r="G6" i="1" a="1"/>
  <c r="G6" i="1"/>
  <c r="H6" i="1"/>
  <c r="I6" i="1"/>
  <c r="G7" i="1" a="1"/>
  <c r="G7" i="1"/>
  <c r="H7" i="1"/>
  <c r="I7" i="1"/>
  <c r="G47" i="1" a="1"/>
  <c r="G47" i="1"/>
  <c r="H47" i="1"/>
  <c r="I47" i="1"/>
  <c r="G48" i="1" a="1"/>
  <c r="G48" i="1"/>
  <c r="H48" i="1"/>
  <c r="I48" i="1"/>
  <c r="G49" i="1" a="1"/>
  <c r="G49" i="1"/>
  <c r="H49" i="1"/>
  <c r="I49" i="1"/>
  <c r="G50" i="1" a="1"/>
  <c r="G50" i="1"/>
  <c r="H50" i="1"/>
  <c r="I50" i="1"/>
  <c r="G129" i="1" a="1"/>
  <c r="G129" i="1"/>
  <c r="H129" i="1"/>
  <c r="I129" i="1"/>
  <c r="G183" i="1" a="1"/>
  <c r="G183" i="1"/>
  <c r="H183" i="1"/>
  <c r="I183" i="1"/>
  <c r="G218" i="1" a="1"/>
  <c r="G218" i="1"/>
  <c r="H218" i="1"/>
  <c r="I218" i="1"/>
  <c r="G260" i="1" a="1"/>
  <c r="G260" i="1"/>
  <c r="H260" i="1"/>
  <c r="I260" i="1"/>
  <c r="G295" i="1" a="1"/>
  <c r="G295" i="1"/>
  <c r="H295" i="1"/>
  <c r="I295" i="1"/>
  <c r="G296" i="1" a="1"/>
  <c r="G296" i="1"/>
  <c r="H296" i="1"/>
  <c r="I296" i="1"/>
  <c r="G344" i="1" a="1"/>
  <c r="G344" i="1"/>
  <c r="H344" i="1"/>
  <c r="I344" i="1"/>
  <c r="G345" i="1" a="1"/>
  <c r="G345" i="1"/>
  <c r="H345" i="1"/>
  <c r="I345" i="1"/>
  <c r="G386" i="1" a="1"/>
  <c r="G386" i="1"/>
  <c r="H386" i="1"/>
  <c r="I386" i="1"/>
  <c r="G387" i="1" a="1"/>
  <c r="G387" i="1"/>
  <c r="H387" i="1"/>
  <c r="I387" i="1"/>
  <c r="G388" i="1" a="1"/>
  <c r="G388" i="1"/>
  <c r="H388" i="1"/>
  <c r="I388" i="1"/>
  <c r="G431" i="1" a="1"/>
  <c r="G431" i="1"/>
  <c r="H431" i="1"/>
  <c r="I431" i="1"/>
  <c r="G471" i="1" a="1"/>
  <c r="G471" i="1"/>
  <c r="H471" i="1"/>
  <c r="I471" i="1"/>
  <c r="G472" i="1" a="1"/>
  <c r="G472" i="1"/>
  <c r="H472" i="1"/>
  <c r="I472" i="1"/>
  <c r="G51" i="1" a="1"/>
  <c r="G51" i="1"/>
  <c r="H51" i="1"/>
  <c r="I51" i="1"/>
  <c r="G52" i="1" a="1"/>
  <c r="G52" i="1"/>
  <c r="H52" i="1"/>
  <c r="I52" i="1"/>
  <c r="G53" i="1" a="1"/>
  <c r="G53" i="1"/>
  <c r="H53" i="1"/>
  <c r="I53" i="1"/>
  <c r="G92" i="1" a="1"/>
  <c r="G92" i="1"/>
  <c r="H92" i="1"/>
  <c r="I92" i="1"/>
  <c r="G93" i="1" a="1"/>
  <c r="G93" i="1"/>
  <c r="H93" i="1"/>
  <c r="I93" i="1"/>
  <c r="G130" i="1" a="1"/>
  <c r="G130" i="1"/>
  <c r="H130" i="1"/>
  <c r="I130" i="1"/>
  <c r="G131" i="1" a="1"/>
  <c r="G131" i="1"/>
  <c r="H131" i="1"/>
  <c r="I131" i="1"/>
  <c r="G184" i="1" a="1"/>
  <c r="G184" i="1"/>
  <c r="H184" i="1"/>
  <c r="I184" i="1"/>
  <c r="G185" i="1" a="1"/>
  <c r="G185" i="1"/>
  <c r="H185" i="1"/>
  <c r="I185" i="1"/>
  <c r="G186" i="1" a="1"/>
  <c r="G186" i="1"/>
  <c r="H186" i="1"/>
  <c r="I186" i="1"/>
  <c r="G261" i="1" a="1"/>
  <c r="G261" i="1"/>
  <c r="H261" i="1"/>
  <c r="I261" i="1"/>
  <c r="G346" i="1" a="1"/>
  <c r="G346" i="1"/>
  <c r="H346" i="1"/>
  <c r="I346" i="1"/>
  <c r="G347" i="1" a="1"/>
  <c r="G347" i="1"/>
  <c r="H347" i="1"/>
  <c r="I347" i="1"/>
  <c r="G389" i="1" a="1"/>
  <c r="G389" i="1"/>
  <c r="H389" i="1"/>
  <c r="I389" i="1"/>
  <c r="G432" i="1" a="1"/>
  <c r="G432" i="1"/>
  <c r="H432" i="1"/>
  <c r="I432" i="1"/>
  <c r="G8" i="1" a="1"/>
  <c r="G8" i="1"/>
  <c r="H8" i="1"/>
  <c r="I8" i="1"/>
  <c r="G187" i="1" a="1"/>
  <c r="G187" i="1"/>
  <c r="H187" i="1"/>
  <c r="I187" i="1"/>
  <c r="G297" i="1" a="1"/>
  <c r="G297" i="1"/>
  <c r="H297" i="1"/>
  <c r="I297" i="1"/>
  <c r="G298" i="1" a="1"/>
  <c r="G298" i="1"/>
  <c r="H298" i="1"/>
  <c r="I298" i="1"/>
  <c r="G348" i="1" a="1"/>
  <c r="G348" i="1"/>
  <c r="H348" i="1"/>
  <c r="I348" i="1"/>
  <c r="G390" i="1" a="1"/>
  <c r="G390" i="1"/>
  <c r="H390" i="1"/>
  <c r="I390" i="1"/>
  <c r="G433" i="1" a="1"/>
  <c r="G433" i="1"/>
  <c r="H433" i="1"/>
  <c r="I433" i="1"/>
  <c r="G434" i="1" a="1"/>
  <c r="G434" i="1"/>
  <c r="H434" i="1"/>
  <c r="I434" i="1"/>
  <c r="G54" i="1" a="1"/>
  <c r="G54" i="1"/>
  <c r="H54" i="1"/>
  <c r="I54" i="1"/>
  <c r="G132" i="1" a="1"/>
  <c r="G132" i="1"/>
  <c r="H132" i="1"/>
  <c r="I132" i="1"/>
  <c r="G133" i="1" a="1"/>
  <c r="G133" i="1"/>
  <c r="H133" i="1"/>
  <c r="I133" i="1"/>
  <c r="G219" i="1" a="1"/>
  <c r="G219" i="1"/>
  <c r="H219" i="1"/>
  <c r="I219" i="1"/>
  <c r="G262" i="1" a="1"/>
  <c r="G262" i="1"/>
  <c r="H262" i="1"/>
  <c r="I262" i="1"/>
  <c r="G263" i="1" a="1"/>
  <c r="G263" i="1"/>
  <c r="H263" i="1"/>
  <c r="I263" i="1"/>
  <c r="G299" i="1" a="1"/>
  <c r="G299" i="1"/>
  <c r="H299" i="1"/>
  <c r="I299" i="1"/>
  <c r="G300" i="1" a="1"/>
  <c r="G300" i="1"/>
  <c r="H300" i="1"/>
  <c r="I300" i="1"/>
  <c r="G301" i="1" a="1"/>
  <c r="G301" i="1"/>
  <c r="H301" i="1"/>
  <c r="I301" i="1"/>
  <c r="G349" i="1" a="1"/>
  <c r="G349" i="1"/>
  <c r="H349" i="1"/>
  <c r="I349" i="1"/>
  <c r="G391" i="1" a="1"/>
  <c r="G391" i="1"/>
  <c r="H391" i="1"/>
  <c r="I391" i="1"/>
  <c r="G435" i="1" a="1"/>
  <c r="G435" i="1"/>
  <c r="H435" i="1"/>
  <c r="I435" i="1"/>
  <c r="G436" i="1" a="1"/>
  <c r="G436" i="1"/>
  <c r="H436" i="1"/>
  <c r="I436" i="1"/>
  <c r="G473" i="1" a="1"/>
  <c r="G473" i="1"/>
  <c r="H473" i="1"/>
  <c r="I473" i="1"/>
  <c r="G9" i="1" a="1"/>
  <c r="G9" i="1"/>
  <c r="H9" i="1"/>
  <c r="I9" i="1"/>
  <c r="G10" i="1" a="1"/>
  <c r="G10" i="1"/>
  <c r="H10" i="1"/>
  <c r="I10" i="1"/>
  <c r="G11" i="1" a="1"/>
  <c r="G11" i="1"/>
  <c r="H11" i="1"/>
  <c r="I11" i="1"/>
  <c r="G55" i="1" a="1"/>
  <c r="G55" i="1"/>
  <c r="H55" i="1"/>
  <c r="I55" i="1"/>
  <c r="G134" i="1" a="1"/>
  <c r="G134" i="1"/>
  <c r="H134" i="1"/>
  <c r="I134" i="1"/>
  <c r="G135" i="1" a="1"/>
  <c r="G135" i="1"/>
  <c r="H135" i="1"/>
  <c r="I135" i="1"/>
  <c r="G188" i="1" a="1"/>
  <c r="G188" i="1"/>
  <c r="H188" i="1"/>
  <c r="I188" i="1"/>
  <c r="G189" i="1" a="1"/>
  <c r="G189" i="1"/>
  <c r="H189" i="1"/>
  <c r="I189" i="1"/>
  <c r="G220" i="1" a="1"/>
  <c r="G220" i="1"/>
  <c r="H220" i="1"/>
  <c r="I220" i="1"/>
  <c r="G264" i="1" a="1"/>
  <c r="G264" i="1"/>
  <c r="H264" i="1"/>
  <c r="I264" i="1"/>
  <c r="G302" i="1" a="1"/>
  <c r="G302" i="1"/>
  <c r="H302" i="1"/>
  <c r="I302" i="1"/>
  <c r="G392" i="1" a="1"/>
  <c r="G392" i="1"/>
  <c r="H392" i="1"/>
  <c r="I392" i="1"/>
  <c r="G393" i="1" a="1"/>
  <c r="G393" i="1"/>
  <c r="H393" i="1"/>
  <c r="I393" i="1"/>
  <c r="G394" i="1" a="1"/>
  <c r="G394" i="1"/>
  <c r="H394" i="1"/>
  <c r="I394" i="1"/>
  <c r="G437" i="1" a="1"/>
  <c r="G437" i="1"/>
  <c r="H437" i="1"/>
  <c r="I437" i="1"/>
  <c r="G438" i="1" a="1"/>
  <c r="G438" i="1"/>
  <c r="H438" i="1"/>
  <c r="I438" i="1"/>
  <c r="G474" i="1" a="1"/>
  <c r="G474" i="1"/>
  <c r="H474" i="1"/>
  <c r="I474" i="1"/>
  <c r="G56" i="1" a="1"/>
  <c r="G56" i="1"/>
  <c r="H56" i="1"/>
  <c r="I56" i="1"/>
  <c r="G136" i="1" a="1"/>
  <c r="G136" i="1"/>
  <c r="H136" i="1"/>
  <c r="I136" i="1"/>
  <c r="G190" i="1" a="1"/>
  <c r="G190" i="1"/>
  <c r="H190" i="1"/>
  <c r="I190" i="1"/>
  <c r="G191" i="1" a="1"/>
  <c r="G191" i="1"/>
  <c r="H191" i="1"/>
  <c r="I191" i="1"/>
  <c r="G192" i="1" a="1"/>
  <c r="G192" i="1"/>
  <c r="H192" i="1"/>
  <c r="I192" i="1"/>
  <c r="G221" i="1" a="1"/>
  <c r="G221" i="1"/>
  <c r="H221" i="1"/>
  <c r="I221" i="1"/>
  <c r="G222" i="1" a="1"/>
  <c r="G222" i="1"/>
  <c r="H222" i="1"/>
  <c r="I222" i="1"/>
  <c r="G265" i="1" a="1"/>
  <c r="G265" i="1"/>
  <c r="H265" i="1"/>
  <c r="I265" i="1"/>
  <c r="G266" i="1" a="1"/>
  <c r="G266" i="1"/>
  <c r="H266" i="1"/>
  <c r="I266" i="1"/>
  <c r="G303" i="1" a="1"/>
  <c r="G303" i="1"/>
  <c r="H303" i="1"/>
  <c r="I303" i="1"/>
  <c r="G350" i="1" a="1"/>
  <c r="G350" i="1"/>
  <c r="H350" i="1"/>
  <c r="I350" i="1"/>
  <c r="G351" i="1" a="1"/>
  <c r="G351" i="1"/>
  <c r="H351" i="1"/>
  <c r="I351" i="1"/>
  <c r="G395" i="1" a="1"/>
  <c r="G395" i="1"/>
  <c r="H395" i="1"/>
  <c r="I395" i="1"/>
  <c r="G12" i="1" a="1"/>
  <c r="G12" i="1"/>
  <c r="H12" i="1"/>
  <c r="I12" i="1"/>
  <c r="G13" i="1" a="1"/>
  <c r="G13" i="1"/>
  <c r="H13" i="1"/>
  <c r="I13" i="1"/>
  <c r="G57" i="1" a="1"/>
  <c r="G57" i="1"/>
  <c r="H57" i="1"/>
  <c r="I57" i="1"/>
  <c r="G58" i="1" a="1"/>
  <c r="G58" i="1"/>
  <c r="H58" i="1"/>
  <c r="I58" i="1"/>
  <c r="G59" i="1" a="1"/>
  <c r="G59" i="1"/>
  <c r="H59" i="1"/>
  <c r="I59" i="1"/>
  <c r="G60" i="1" a="1"/>
  <c r="G60" i="1"/>
  <c r="H60" i="1"/>
  <c r="I60" i="1"/>
  <c r="G94" i="1" a="1"/>
  <c r="G94" i="1"/>
  <c r="H94" i="1"/>
  <c r="I94" i="1"/>
  <c r="G95" i="1" a="1"/>
  <c r="G95" i="1"/>
  <c r="H95" i="1"/>
  <c r="I95" i="1"/>
  <c r="G96" i="1" a="1"/>
  <c r="G96" i="1"/>
  <c r="H96" i="1"/>
  <c r="I96" i="1"/>
  <c r="G137" i="1" a="1"/>
  <c r="G137" i="1"/>
  <c r="H137" i="1"/>
  <c r="I137" i="1"/>
  <c r="G138" i="1" a="1"/>
  <c r="G138" i="1"/>
  <c r="H138" i="1"/>
  <c r="I138" i="1"/>
  <c r="G193" i="1" a="1"/>
  <c r="G193" i="1"/>
  <c r="H193" i="1"/>
  <c r="I193" i="1"/>
  <c r="G223" i="1" a="1"/>
  <c r="G223" i="1"/>
  <c r="H223" i="1"/>
  <c r="I223" i="1"/>
  <c r="G224" i="1" a="1"/>
  <c r="G224" i="1"/>
  <c r="H224" i="1"/>
  <c r="I224" i="1"/>
  <c r="G304" i="1" a="1"/>
  <c r="G304" i="1"/>
  <c r="H304" i="1"/>
  <c r="I304" i="1"/>
  <c r="G439" i="1" a="1"/>
  <c r="G439" i="1"/>
  <c r="H439" i="1"/>
  <c r="I439" i="1"/>
  <c r="G440" i="1" a="1"/>
  <c r="G440" i="1"/>
  <c r="H440" i="1"/>
  <c r="I440" i="1"/>
  <c r="G441" i="1" a="1"/>
  <c r="G441" i="1"/>
  <c r="H441" i="1"/>
  <c r="I441" i="1"/>
  <c r="G442" i="1" a="1"/>
  <c r="G442" i="1"/>
  <c r="H442" i="1"/>
  <c r="I442" i="1"/>
  <c r="G14" i="1" a="1"/>
  <c r="G14" i="1"/>
  <c r="H14" i="1"/>
  <c r="I14" i="1"/>
  <c r="G61" i="1" a="1"/>
  <c r="G61" i="1"/>
  <c r="H61" i="1"/>
  <c r="I61" i="1"/>
  <c r="G97" i="1" a="1"/>
  <c r="G97" i="1"/>
  <c r="H97" i="1"/>
  <c r="I97" i="1"/>
  <c r="G98" i="1" a="1"/>
  <c r="G98" i="1"/>
  <c r="H98" i="1"/>
  <c r="I98" i="1"/>
  <c r="G139" i="1" a="1"/>
  <c r="G139" i="1"/>
  <c r="H139" i="1"/>
  <c r="I139" i="1"/>
  <c r="G225" i="1" a="1"/>
  <c r="G225" i="1"/>
  <c r="H225" i="1"/>
  <c r="I225" i="1"/>
  <c r="G226" i="1" a="1"/>
  <c r="G226" i="1"/>
  <c r="H226" i="1"/>
  <c r="I226" i="1"/>
  <c r="G227" i="1" a="1"/>
  <c r="G227" i="1"/>
  <c r="H227" i="1"/>
  <c r="I227" i="1"/>
  <c r="G228" i="1" a="1"/>
  <c r="G228" i="1"/>
  <c r="H228" i="1"/>
  <c r="I228" i="1"/>
  <c r="G267" i="1" a="1"/>
  <c r="G267" i="1"/>
  <c r="H267" i="1"/>
  <c r="I267" i="1"/>
  <c r="G305" i="1" a="1"/>
  <c r="G305" i="1"/>
  <c r="H305" i="1"/>
  <c r="I305" i="1"/>
  <c r="G306" i="1" a="1"/>
  <c r="G306" i="1"/>
  <c r="H306" i="1"/>
  <c r="I306" i="1"/>
  <c r="G352" i="1" a="1"/>
  <c r="G352" i="1"/>
  <c r="H352" i="1"/>
  <c r="I352" i="1"/>
  <c r="G353" i="1" a="1"/>
  <c r="G353" i="1"/>
  <c r="H353" i="1"/>
  <c r="I353" i="1"/>
  <c r="G475" i="1" a="1"/>
  <c r="G475" i="1"/>
  <c r="H475" i="1"/>
  <c r="I475" i="1"/>
  <c r="G15" i="1" a="1"/>
  <c r="G15" i="1"/>
  <c r="H15" i="1"/>
  <c r="I15" i="1"/>
  <c r="G62" i="1" a="1"/>
  <c r="G62" i="1"/>
  <c r="H62" i="1"/>
  <c r="I62" i="1"/>
  <c r="G63" i="1" a="1"/>
  <c r="G63" i="1"/>
  <c r="H63" i="1"/>
  <c r="I63" i="1"/>
  <c r="G99" i="1" a="1"/>
  <c r="G99" i="1"/>
  <c r="H99" i="1"/>
  <c r="I99" i="1"/>
  <c r="G140" i="1" a="1"/>
  <c r="G140" i="1"/>
  <c r="H140" i="1"/>
  <c r="I140" i="1"/>
  <c r="G141" i="1" a="1"/>
  <c r="G141" i="1"/>
  <c r="H141" i="1"/>
  <c r="I141" i="1"/>
  <c r="G142" i="1" a="1"/>
  <c r="G142" i="1"/>
  <c r="H142" i="1"/>
  <c r="I142" i="1"/>
  <c r="G194" i="1" a="1"/>
  <c r="G194" i="1"/>
  <c r="H194" i="1"/>
  <c r="I194" i="1"/>
  <c r="G229" i="1" a="1"/>
  <c r="G229" i="1"/>
  <c r="H229" i="1"/>
  <c r="I229" i="1"/>
  <c r="G268" i="1" a="1"/>
  <c r="G268" i="1"/>
  <c r="H268" i="1"/>
  <c r="I268" i="1"/>
  <c r="G269" i="1" a="1"/>
  <c r="G269" i="1"/>
  <c r="H269" i="1"/>
  <c r="I269" i="1"/>
  <c r="G270" i="1" a="1"/>
  <c r="G270" i="1"/>
  <c r="H270" i="1"/>
  <c r="I270" i="1"/>
  <c r="G307" i="1" a="1"/>
  <c r="G307" i="1"/>
  <c r="H307" i="1"/>
  <c r="I307" i="1"/>
  <c r="G308" i="1" a="1"/>
  <c r="G308" i="1"/>
  <c r="H308" i="1"/>
  <c r="I308" i="1"/>
  <c r="G354" i="1" a="1"/>
  <c r="G354" i="1"/>
  <c r="H354" i="1"/>
  <c r="I354" i="1"/>
  <c r="G355" i="1" a="1"/>
  <c r="G355" i="1"/>
  <c r="H355" i="1"/>
  <c r="I355" i="1"/>
  <c r="G396" i="1" a="1"/>
  <c r="G396" i="1"/>
  <c r="H396" i="1"/>
  <c r="I396" i="1"/>
  <c r="G397" i="1" a="1"/>
  <c r="G397" i="1"/>
  <c r="H397" i="1"/>
  <c r="I397" i="1"/>
  <c r="G443" i="1" a="1"/>
  <c r="G443" i="1"/>
  <c r="H443" i="1"/>
  <c r="I443" i="1"/>
  <c r="G476" i="1" a="1"/>
  <c r="G476" i="1"/>
  <c r="H476" i="1"/>
  <c r="I476" i="1"/>
  <c r="G477" i="1" a="1"/>
  <c r="G477" i="1"/>
  <c r="H477" i="1"/>
  <c r="I477" i="1"/>
  <c r="G478" i="1" a="1"/>
  <c r="G478" i="1"/>
  <c r="H478" i="1"/>
  <c r="I478" i="1"/>
  <c r="G16" i="1" a="1"/>
  <c r="G16" i="1"/>
  <c r="H16" i="1"/>
  <c r="I16" i="1"/>
  <c r="G17" i="1" a="1"/>
  <c r="G17" i="1"/>
  <c r="H17" i="1"/>
  <c r="I17" i="1"/>
  <c r="G18" i="1" a="1"/>
  <c r="G18" i="1"/>
  <c r="H18" i="1"/>
  <c r="I18" i="1"/>
  <c r="G100" i="1" a="1"/>
  <c r="G100" i="1"/>
  <c r="H100" i="1"/>
  <c r="I100" i="1"/>
  <c r="G143" i="1" a="1"/>
  <c r="G143" i="1"/>
  <c r="H143" i="1"/>
  <c r="I143" i="1"/>
  <c r="G144" i="1" a="1"/>
  <c r="G144" i="1"/>
  <c r="H144" i="1"/>
  <c r="I144" i="1"/>
  <c r="G195" i="1" a="1"/>
  <c r="G195" i="1"/>
  <c r="H195" i="1"/>
  <c r="I195" i="1"/>
  <c r="G196" i="1" a="1"/>
  <c r="G196" i="1"/>
  <c r="H196" i="1"/>
  <c r="I196" i="1"/>
  <c r="G197" i="1" a="1"/>
  <c r="G197" i="1"/>
  <c r="H197" i="1"/>
  <c r="I197" i="1"/>
  <c r="G198" i="1" a="1"/>
  <c r="G198" i="1"/>
  <c r="H198" i="1"/>
  <c r="I198" i="1"/>
  <c r="G230" i="1" a="1"/>
  <c r="G230" i="1"/>
  <c r="H230" i="1"/>
  <c r="I230" i="1"/>
  <c r="G231" i="1" a="1"/>
  <c r="G231" i="1"/>
  <c r="H231" i="1"/>
  <c r="I231" i="1"/>
  <c r="G271" i="1" a="1"/>
  <c r="G271" i="1"/>
  <c r="H271" i="1"/>
  <c r="I271" i="1"/>
  <c r="G272" i="1" a="1"/>
  <c r="G272" i="1"/>
  <c r="H272" i="1"/>
  <c r="I272" i="1"/>
  <c r="G398" i="1" a="1"/>
  <c r="G398" i="1"/>
  <c r="H398" i="1"/>
  <c r="I398" i="1"/>
  <c r="G444" i="1" a="1"/>
  <c r="G444" i="1"/>
  <c r="H444" i="1"/>
  <c r="I444" i="1"/>
  <c r="G445" i="1" a="1"/>
  <c r="G445" i="1"/>
  <c r="H445" i="1"/>
  <c r="I445" i="1"/>
  <c r="G446" i="1" a="1"/>
  <c r="G446" i="1"/>
  <c r="H446" i="1"/>
  <c r="I446" i="1"/>
  <c r="G479" i="1" a="1"/>
  <c r="G479" i="1"/>
  <c r="H479" i="1"/>
  <c r="I479" i="1"/>
  <c r="G19" i="1" a="1"/>
  <c r="G19" i="1"/>
  <c r="H19" i="1"/>
  <c r="I19" i="1"/>
  <c r="G20" i="1" a="1"/>
  <c r="G20" i="1"/>
  <c r="H20" i="1"/>
  <c r="I20" i="1"/>
  <c r="G64" i="1" a="1"/>
  <c r="G64" i="1"/>
  <c r="H64" i="1"/>
  <c r="I64" i="1"/>
  <c r="G145" i="1" a="1"/>
  <c r="G145" i="1"/>
  <c r="H145" i="1"/>
  <c r="I145" i="1"/>
  <c r="G146" i="1" a="1"/>
  <c r="G146" i="1"/>
  <c r="H146" i="1"/>
  <c r="I146" i="1"/>
  <c r="G199" i="1" a="1"/>
  <c r="G199" i="1"/>
  <c r="H199" i="1"/>
  <c r="I199" i="1"/>
  <c r="G232" i="1" a="1"/>
  <c r="G232" i="1"/>
  <c r="H232" i="1"/>
  <c r="I232" i="1"/>
  <c r="G233" i="1" a="1"/>
  <c r="G233" i="1"/>
  <c r="H233" i="1"/>
  <c r="I233" i="1"/>
  <c r="G273" i="1" a="1"/>
  <c r="G273" i="1"/>
  <c r="H273" i="1"/>
  <c r="I273" i="1"/>
  <c r="G309" i="1" a="1"/>
  <c r="G309" i="1"/>
  <c r="H309" i="1"/>
  <c r="I309" i="1"/>
  <c r="G310" i="1" a="1"/>
  <c r="G310" i="1"/>
  <c r="H310" i="1"/>
  <c r="I310" i="1"/>
  <c r="G356" i="1" a="1"/>
  <c r="G356" i="1"/>
  <c r="H356" i="1"/>
  <c r="I356" i="1"/>
  <c r="G399" i="1" a="1"/>
  <c r="G399" i="1"/>
  <c r="H399" i="1"/>
  <c r="I399" i="1"/>
  <c r="G400" i="1" a="1"/>
  <c r="G400" i="1"/>
  <c r="H400" i="1"/>
  <c r="I400" i="1"/>
  <c r="G401" i="1" a="1"/>
  <c r="G401" i="1"/>
  <c r="H401" i="1"/>
  <c r="I401" i="1"/>
  <c r="G480" i="1" a="1"/>
  <c r="G480" i="1"/>
  <c r="H480" i="1"/>
  <c r="I480" i="1"/>
  <c r="G481" i="1" a="1"/>
  <c r="G481" i="1"/>
  <c r="H481" i="1"/>
  <c r="I481" i="1"/>
  <c r="G482" i="1" a="1"/>
  <c r="G482" i="1"/>
  <c r="H482" i="1"/>
  <c r="I482" i="1"/>
  <c r="G65" i="1" a="1"/>
  <c r="G65" i="1"/>
  <c r="H65" i="1"/>
  <c r="I65" i="1"/>
  <c r="G147" i="1" a="1"/>
  <c r="G147" i="1"/>
  <c r="H147" i="1"/>
  <c r="I147" i="1"/>
  <c r="G148" i="1" a="1"/>
  <c r="G148" i="1"/>
  <c r="H148" i="1"/>
  <c r="I148" i="1"/>
  <c r="G200" i="1" a="1"/>
  <c r="G200" i="1"/>
  <c r="H200" i="1"/>
  <c r="I200" i="1"/>
  <c r="G234" i="1" a="1"/>
  <c r="G234" i="1"/>
  <c r="H234" i="1"/>
  <c r="I234" i="1"/>
  <c r="G311" i="1" a="1"/>
  <c r="G311" i="1"/>
  <c r="H311" i="1"/>
  <c r="I311" i="1"/>
  <c r="G312" i="1" a="1"/>
  <c r="G312" i="1"/>
  <c r="H312" i="1"/>
  <c r="I312" i="1"/>
  <c r="G313" i="1" a="1"/>
  <c r="G313" i="1"/>
  <c r="H313" i="1"/>
  <c r="I313" i="1"/>
  <c r="G357" i="1" a="1"/>
  <c r="G357" i="1"/>
  <c r="H357" i="1"/>
  <c r="I357" i="1"/>
  <c r="G358" i="1" a="1"/>
  <c r="G358" i="1"/>
  <c r="H358" i="1"/>
  <c r="I358" i="1"/>
  <c r="G447" i="1" a="1"/>
  <c r="G447" i="1"/>
  <c r="H447" i="1"/>
  <c r="I447" i="1"/>
  <c r="G448" i="1" a="1"/>
  <c r="G448" i="1"/>
  <c r="H448" i="1"/>
  <c r="I448" i="1"/>
  <c r="G449" i="1" a="1"/>
  <c r="G449" i="1"/>
  <c r="H449" i="1"/>
  <c r="I449" i="1"/>
  <c r="G450" i="1" a="1"/>
  <c r="G450" i="1"/>
  <c r="H450" i="1"/>
  <c r="I450" i="1"/>
  <c r="G66" i="1" a="1"/>
  <c r="G66" i="1"/>
  <c r="H66" i="1"/>
  <c r="I66" i="1"/>
  <c r="G149" i="1" a="1"/>
  <c r="G149" i="1"/>
  <c r="H149" i="1"/>
  <c r="I149" i="1"/>
  <c r="G150" i="1" a="1"/>
  <c r="G150" i="1"/>
  <c r="H150" i="1"/>
  <c r="I150" i="1"/>
  <c r="G201" i="1" a="1"/>
  <c r="G201" i="1"/>
  <c r="H201" i="1"/>
  <c r="I201" i="1"/>
  <c r="G235" i="1" a="1"/>
  <c r="G235" i="1"/>
  <c r="H235" i="1"/>
  <c r="I235" i="1"/>
  <c r="G236" i="1" a="1"/>
  <c r="G236" i="1"/>
  <c r="H236" i="1"/>
  <c r="I236" i="1"/>
  <c r="G274" i="1" a="1"/>
  <c r="G274" i="1"/>
  <c r="H274" i="1"/>
  <c r="I274" i="1"/>
  <c r="G314" i="1" a="1"/>
  <c r="G314" i="1"/>
  <c r="H314" i="1"/>
  <c r="I314" i="1"/>
  <c r="G315" i="1" a="1"/>
  <c r="G315" i="1"/>
  <c r="H315" i="1"/>
  <c r="I315" i="1"/>
  <c r="G359" i="1" a="1"/>
  <c r="G359" i="1"/>
  <c r="H359" i="1"/>
  <c r="I359" i="1"/>
  <c r="G360" i="1" a="1"/>
  <c r="G360" i="1"/>
  <c r="H360" i="1"/>
  <c r="I360" i="1"/>
  <c r="G402" i="1" a="1"/>
  <c r="G402" i="1"/>
  <c r="H402" i="1"/>
  <c r="I402" i="1"/>
  <c r="G21" i="1" a="1"/>
  <c r="G21" i="1"/>
  <c r="H21" i="1"/>
  <c r="I21" i="1"/>
  <c r="G22" i="1" a="1"/>
  <c r="G22" i="1"/>
  <c r="H22" i="1"/>
  <c r="I22" i="1"/>
  <c r="G23" i="1" a="1"/>
  <c r="G23" i="1"/>
  <c r="H23" i="1"/>
  <c r="I23" i="1"/>
  <c r="G67" i="1" a="1"/>
  <c r="G67" i="1"/>
  <c r="H67" i="1"/>
  <c r="I67" i="1"/>
  <c r="G68" i="1" a="1"/>
  <c r="G68" i="1"/>
  <c r="H68" i="1"/>
  <c r="I68" i="1"/>
  <c r="G69" i="1" a="1"/>
  <c r="G69" i="1"/>
  <c r="H69" i="1"/>
  <c r="I69" i="1"/>
  <c r="G70" i="1" a="1"/>
  <c r="G70" i="1"/>
  <c r="H70" i="1"/>
  <c r="I70" i="1"/>
  <c r="G101" i="1" a="1"/>
  <c r="G101" i="1"/>
  <c r="H101" i="1"/>
  <c r="I101" i="1"/>
  <c r="G102" i="1" a="1"/>
  <c r="G102" i="1"/>
  <c r="H102" i="1"/>
  <c r="I102" i="1"/>
  <c r="G103" i="1" a="1"/>
  <c r="G103" i="1"/>
  <c r="H103" i="1"/>
  <c r="I103" i="1"/>
  <c r="G151" i="1" a="1"/>
  <c r="G151" i="1"/>
  <c r="H151" i="1"/>
  <c r="I151" i="1"/>
  <c r="G152" i="1" a="1"/>
  <c r="G152" i="1"/>
  <c r="H152" i="1"/>
  <c r="I152" i="1"/>
  <c r="G202" i="1" a="1"/>
  <c r="G202" i="1"/>
  <c r="H202" i="1"/>
  <c r="I202" i="1"/>
  <c r="G237" i="1" a="1"/>
  <c r="G237" i="1"/>
  <c r="H237" i="1"/>
  <c r="I237" i="1"/>
  <c r="G238" i="1" a="1"/>
  <c r="G238" i="1"/>
  <c r="H238" i="1"/>
  <c r="I238" i="1"/>
  <c r="G239" i="1" a="1"/>
  <c r="G239" i="1"/>
  <c r="H239" i="1"/>
  <c r="I239" i="1"/>
  <c r="G275" i="1" a="1"/>
  <c r="G275" i="1"/>
  <c r="H275" i="1"/>
  <c r="I275" i="1"/>
  <c r="G316" i="1" a="1"/>
  <c r="G316" i="1"/>
  <c r="H316" i="1"/>
  <c r="I316" i="1"/>
  <c r="G317" i="1" a="1"/>
  <c r="G317" i="1"/>
  <c r="H317" i="1"/>
  <c r="I317" i="1"/>
  <c r="G361" i="1" a="1"/>
  <c r="G361" i="1"/>
  <c r="H361" i="1"/>
  <c r="I361" i="1"/>
  <c r="G362" i="1" a="1"/>
  <c r="G362" i="1"/>
  <c r="H362" i="1"/>
  <c r="I362" i="1"/>
  <c r="G71" i="1" a="1"/>
  <c r="G71" i="1"/>
  <c r="H71" i="1"/>
  <c r="I71" i="1"/>
  <c r="G72" i="1" a="1"/>
  <c r="G72" i="1"/>
  <c r="H72" i="1"/>
  <c r="I72" i="1"/>
  <c r="G104" i="1" a="1"/>
  <c r="G104" i="1"/>
  <c r="H104" i="1"/>
  <c r="I104" i="1"/>
  <c r="G105" i="1" a="1"/>
  <c r="G105" i="1"/>
  <c r="H105" i="1"/>
  <c r="I105" i="1"/>
  <c r="G240" i="1" a="1"/>
  <c r="G240" i="1"/>
  <c r="H240" i="1"/>
  <c r="I240" i="1"/>
  <c r="G241" i="1" a="1"/>
  <c r="G241" i="1"/>
  <c r="H241" i="1"/>
  <c r="I241" i="1"/>
  <c r="G276" i="1" a="1"/>
  <c r="G276" i="1"/>
  <c r="H276" i="1"/>
  <c r="I276" i="1"/>
  <c r="G318" i="1" a="1"/>
  <c r="G318" i="1"/>
  <c r="H318" i="1"/>
  <c r="I318" i="1"/>
  <c r="G363" i="1" a="1"/>
  <c r="G363" i="1"/>
  <c r="H363" i="1"/>
  <c r="I363" i="1"/>
  <c r="G364" i="1" a="1"/>
  <c r="G364" i="1"/>
  <c r="H364" i="1"/>
  <c r="I364" i="1"/>
  <c r="G403" i="1" a="1"/>
  <c r="G403" i="1"/>
  <c r="H403" i="1"/>
  <c r="I403" i="1"/>
  <c r="G404" i="1" a="1"/>
  <c r="G404" i="1"/>
  <c r="H404" i="1"/>
  <c r="I404" i="1"/>
  <c r="G405" i="1" a="1"/>
  <c r="G405" i="1"/>
  <c r="H405" i="1"/>
  <c r="I405" i="1"/>
  <c r="G483" i="1" a="1"/>
  <c r="G483" i="1"/>
  <c r="H483" i="1"/>
  <c r="I483" i="1"/>
  <c r="G484" i="1" a="1"/>
  <c r="G484" i="1"/>
  <c r="H484" i="1"/>
  <c r="I484" i="1"/>
  <c r="G485" i="1" a="1"/>
  <c r="G485" i="1"/>
  <c r="H485" i="1"/>
  <c r="I485" i="1"/>
  <c r="G24" i="1" a="1"/>
  <c r="G24" i="1"/>
  <c r="H24" i="1"/>
  <c r="I24" i="1"/>
  <c r="G73" i="1" a="1"/>
  <c r="G73" i="1"/>
  <c r="H73" i="1"/>
  <c r="I73" i="1"/>
  <c r="G74" i="1" a="1"/>
  <c r="G74" i="1"/>
  <c r="H74" i="1"/>
  <c r="I74" i="1"/>
  <c r="G106" i="1" a="1"/>
  <c r="G106" i="1"/>
  <c r="H106" i="1"/>
  <c r="I106" i="1"/>
  <c r="G107" i="1" a="1"/>
  <c r="G107" i="1"/>
  <c r="H107" i="1"/>
  <c r="I107" i="1"/>
  <c r="G108" i="1" a="1"/>
  <c r="G108" i="1"/>
  <c r="H108" i="1"/>
  <c r="I108" i="1"/>
  <c r="G153" i="1" a="1"/>
  <c r="G153" i="1"/>
  <c r="H153" i="1"/>
  <c r="I153" i="1"/>
  <c r="G242" i="1" a="1"/>
  <c r="G242" i="1"/>
  <c r="H242" i="1"/>
  <c r="I242" i="1"/>
  <c r="G243" i="1" a="1"/>
  <c r="G243" i="1"/>
  <c r="H243" i="1"/>
  <c r="I243" i="1"/>
  <c r="G277" i="1" a="1"/>
  <c r="G277" i="1"/>
  <c r="H277" i="1"/>
  <c r="I277" i="1"/>
  <c r="G319" i="1" a="1"/>
  <c r="G319" i="1"/>
  <c r="H319" i="1"/>
  <c r="I319" i="1"/>
  <c r="G320" i="1" a="1"/>
  <c r="G320" i="1"/>
  <c r="H320" i="1"/>
  <c r="I320" i="1"/>
  <c r="G321" i="1" a="1"/>
  <c r="G321" i="1"/>
  <c r="H321" i="1"/>
  <c r="I321" i="1"/>
  <c r="G322" i="1" a="1"/>
  <c r="G322" i="1"/>
  <c r="H322" i="1"/>
  <c r="I322" i="1"/>
  <c r="G365" i="1" a="1"/>
  <c r="G365" i="1"/>
  <c r="H365" i="1"/>
  <c r="I365" i="1"/>
  <c r="G366" i="1" a="1"/>
  <c r="G366" i="1"/>
  <c r="H366" i="1"/>
  <c r="I366" i="1"/>
  <c r="G367" i="1" a="1"/>
  <c r="G367" i="1"/>
  <c r="H367" i="1"/>
  <c r="I367" i="1"/>
  <c r="G368" i="1" a="1"/>
  <c r="G368" i="1"/>
  <c r="H368" i="1"/>
  <c r="I368" i="1"/>
  <c r="G406" i="1" a="1"/>
  <c r="G406" i="1"/>
  <c r="H406" i="1"/>
  <c r="I406" i="1"/>
  <c r="G407" i="1" a="1"/>
  <c r="G407" i="1"/>
  <c r="H407" i="1"/>
  <c r="I407" i="1"/>
  <c r="G408" i="1" a="1"/>
  <c r="G408" i="1"/>
  <c r="H408" i="1"/>
  <c r="I408" i="1"/>
  <c r="G451" i="1" a="1"/>
  <c r="G451" i="1"/>
  <c r="H451" i="1"/>
  <c r="I451" i="1"/>
  <c r="G486" i="1" a="1"/>
  <c r="G486" i="1"/>
  <c r="H486" i="1"/>
  <c r="I486" i="1"/>
  <c r="G25" i="1" a="1"/>
  <c r="G25" i="1"/>
  <c r="H25" i="1"/>
  <c r="I25" i="1"/>
  <c r="G75" i="1" a="1"/>
  <c r="G75" i="1"/>
  <c r="H75" i="1"/>
  <c r="I75" i="1"/>
  <c r="G76" i="1" a="1"/>
  <c r="G76" i="1"/>
  <c r="H76" i="1"/>
  <c r="I76" i="1"/>
  <c r="G77" i="1" a="1"/>
  <c r="G77" i="1"/>
  <c r="H77" i="1"/>
  <c r="I77" i="1"/>
  <c r="G78" i="1" a="1"/>
  <c r="G78" i="1"/>
  <c r="H78" i="1"/>
  <c r="I78" i="1"/>
  <c r="G109" i="1" a="1"/>
  <c r="G109" i="1"/>
  <c r="H109" i="1"/>
  <c r="I109" i="1"/>
  <c r="G110" i="1" a="1"/>
  <c r="G110" i="1"/>
  <c r="H110" i="1"/>
  <c r="I110" i="1"/>
  <c r="G154" i="1" a="1"/>
  <c r="G154" i="1"/>
  <c r="H154" i="1"/>
  <c r="I154" i="1"/>
  <c r="G155" i="1" a="1"/>
  <c r="G155" i="1"/>
  <c r="H155" i="1"/>
  <c r="I155" i="1"/>
  <c r="G156" i="1" a="1"/>
  <c r="G156" i="1"/>
  <c r="H156" i="1"/>
  <c r="I156" i="1"/>
  <c r="G244" i="1" a="1"/>
  <c r="G244" i="1"/>
  <c r="H244" i="1"/>
  <c r="I244" i="1"/>
  <c r="G278" i="1" a="1"/>
  <c r="G278" i="1"/>
  <c r="H278" i="1"/>
  <c r="I278" i="1"/>
  <c r="G323" i="1" a="1"/>
  <c r="G323" i="1"/>
  <c r="H323" i="1"/>
  <c r="I323" i="1"/>
  <c r="G324" i="1" a="1"/>
  <c r="G324" i="1"/>
  <c r="H324" i="1"/>
  <c r="I324" i="1"/>
  <c r="G409" i="1" a="1"/>
  <c r="G409" i="1"/>
  <c r="H409" i="1"/>
  <c r="I409" i="1"/>
  <c r="G487" i="1" a="1"/>
  <c r="G487" i="1"/>
  <c r="H487" i="1"/>
  <c r="I487" i="1"/>
  <c r="G79" i="1" a="1"/>
  <c r="G79" i="1"/>
  <c r="H79" i="1"/>
  <c r="I79" i="1"/>
  <c r="G80" i="1" a="1"/>
  <c r="G80" i="1"/>
  <c r="H80" i="1"/>
  <c r="I80" i="1"/>
  <c r="G111" i="1" a="1"/>
  <c r="G111" i="1"/>
  <c r="H111" i="1"/>
  <c r="I111" i="1"/>
  <c r="G112" i="1" a="1"/>
  <c r="G112" i="1"/>
  <c r="H112" i="1"/>
  <c r="I112" i="1"/>
  <c r="G113" i="1" a="1"/>
  <c r="G113" i="1"/>
  <c r="H113" i="1"/>
  <c r="I113" i="1"/>
  <c r="G157" i="1" a="1"/>
  <c r="G157" i="1"/>
  <c r="H157" i="1"/>
  <c r="I157" i="1"/>
  <c r="G245" i="1" a="1"/>
  <c r="G245" i="1"/>
  <c r="H245" i="1"/>
  <c r="I245" i="1"/>
  <c r="G279" i="1" a="1"/>
  <c r="G279" i="1"/>
  <c r="H279" i="1"/>
  <c r="I279" i="1"/>
  <c r="G280" i="1" a="1"/>
  <c r="G280" i="1"/>
  <c r="H280" i="1"/>
  <c r="I280" i="1"/>
  <c r="G325" i="1" a="1"/>
  <c r="G325" i="1"/>
  <c r="H325" i="1"/>
  <c r="I325" i="1"/>
  <c r="G369" i="1" a="1"/>
  <c r="G369" i="1"/>
  <c r="H369" i="1"/>
  <c r="I369" i="1"/>
  <c r="G410" i="1" a="1"/>
  <c r="G410" i="1"/>
  <c r="H410" i="1"/>
  <c r="I410" i="1"/>
  <c r="G411" i="1" a="1"/>
  <c r="G411" i="1"/>
  <c r="H411" i="1"/>
  <c r="I411" i="1"/>
  <c r="G412" i="1" a="1"/>
  <c r="G412" i="1"/>
  <c r="H412" i="1"/>
  <c r="I412" i="1"/>
  <c r="G452" i="1" a="1"/>
  <c r="G452" i="1"/>
  <c r="H452" i="1"/>
  <c r="I452" i="1"/>
  <c r="G488" i="1" a="1"/>
  <c r="G488" i="1"/>
  <c r="H488" i="1"/>
  <c r="I488" i="1"/>
  <c r="G489" i="1" a="1"/>
  <c r="G489" i="1"/>
  <c r="H489" i="1"/>
  <c r="I489" i="1"/>
  <c r="G490" i="1" a="1"/>
  <c r="G490" i="1"/>
  <c r="H490" i="1"/>
  <c r="I490" i="1"/>
  <c r="G491" i="1" a="1"/>
  <c r="G491" i="1"/>
  <c r="H491" i="1"/>
  <c r="I491" i="1"/>
  <c r="G492" i="1" a="1"/>
  <c r="G492" i="1"/>
  <c r="H492" i="1"/>
  <c r="I492" i="1"/>
  <c r="G26" i="1" a="1"/>
  <c r="G26" i="1"/>
  <c r="H26" i="1"/>
  <c r="I26" i="1"/>
  <c r="G27" i="1" a="1"/>
  <c r="G27" i="1"/>
  <c r="H27" i="1"/>
  <c r="I27" i="1"/>
  <c r="G114" i="1" a="1"/>
  <c r="G114" i="1"/>
  <c r="H114" i="1"/>
  <c r="I114" i="1"/>
  <c r="G115" i="1" a="1"/>
  <c r="G115" i="1"/>
  <c r="H115" i="1"/>
  <c r="I115" i="1"/>
  <c r="G116" i="1" a="1"/>
  <c r="G116" i="1"/>
  <c r="H116" i="1"/>
  <c r="I116" i="1"/>
  <c r="G158" i="1" a="1"/>
  <c r="G158" i="1"/>
  <c r="H158" i="1"/>
  <c r="I158" i="1"/>
  <c r="G203" i="1" a="1"/>
  <c r="G203" i="1"/>
  <c r="H203" i="1"/>
  <c r="I203" i="1"/>
  <c r="G204" i="1" a="1"/>
  <c r="G204" i="1"/>
  <c r="H204" i="1"/>
  <c r="I204" i="1"/>
  <c r="G246" i="1" a="1"/>
  <c r="G246" i="1"/>
  <c r="H246" i="1"/>
  <c r="I246" i="1"/>
  <c r="G281" i="1" a="1"/>
  <c r="G281" i="1"/>
  <c r="H281" i="1"/>
  <c r="I281" i="1"/>
  <c r="G453" i="1" a="1"/>
  <c r="G453" i="1"/>
  <c r="H453" i="1"/>
  <c r="I453" i="1"/>
  <c r="G493" i="1" a="1"/>
  <c r="G493" i="1"/>
  <c r="H493" i="1"/>
  <c r="I493" i="1"/>
  <c r="G494" i="1" a="1"/>
  <c r="G494" i="1"/>
  <c r="H494" i="1"/>
  <c r="I494" i="1"/>
  <c r="G28" i="1" a="1"/>
  <c r="G28" i="1"/>
  <c r="H28" i="1"/>
  <c r="I28" i="1"/>
  <c r="G29" i="1" a="1"/>
  <c r="G29" i="1"/>
  <c r="H29" i="1"/>
  <c r="I29" i="1"/>
  <c r="G117" i="1" a="1"/>
  <c r="G117" i="1"/>
  <c r="H117" i="1"/>
  <c r="I117" i="1"/>
  <c r="G205" i="1" a="1"/>
  <c r="G205" i="1"/>
  <c r="H205" i="1"/>
  <c r="I205" i="1"/>
  <c r="G206" i="1" a="1"/>
  <c r="G206" i="1"/>
  <c r="H206" i="1"/>
  <c r="I206" i="1"/>
  <c r="G247" i="1" a="1"/>
  <c r="G247" i="1"/>
  <c r="H247" i="1"/>
  <c r="I247" i="1"/>
  <c r="G248" i="1" a="1"/>
  <c r="G248" i="1"/>
  <c r="H248" i="1"/>
  <c r="I248" i="1"/>
  <c r="G282" i="1" a="1"/>
  <c r="G282" i="1"/>
  <c r="H282" i="1"/>
  <c r="I282" i="1"/>
  <c r="G370" i="1" a="1"/>
  <c r="G370" i="1"/>
  <c r="H370" i="1"/>
  <c r="I370" i="1"/>
  <c r="G413" i="1" a="1"/>
  <c r="G413" i="1"/>
  <c r="H413" i="1"/>
  <c r="I413" i="1"/>
  <c r="G414" i="1" a="1"/>
  <c r="G414" i="1"/>
  <c r="H414" i="1"/>
  <c r="I414" i="1"/>
  <c r="G454" i="1" a="1"/>
  <c r="G454" i="1"/>
  <c r="H454" i="1"/>
  <c r="I454" i="1"/>
  <c r="G455" i="1" a="1"/>
  <c r="G455" i="1"/>
  <c r="H455" i="1"/>
  <c r="I455" i="1"/>
  <c r="G456" i="1" a="1"/>
  <c r="G456" i="1"/>
  <c r="H456" i="1"/>
  <c r="I456" i="1"/>
  <c r="G457" i="1" a="1"/>
  <c r="G457" i="1"/>
  <c r="H457" i="1"/>
  <c r="I457" i="1"/>
  <c r="G495" i="1" a="1"/>
  <c r="G495" i="1"/>
  <c r="H495" i="1"/>
  <c r="I495" i="1"/>
  <c r="G30" i="1" a="1"/>
  <c r="G30" i="1"/>
  <c r="H30" i="1"/>
  <c r="I30" i="1"/>
  <c r="G31" i="1" a="1"/>
  <c r="G31" i="1"/>
  <c r="H31" i="1"/>
  <c r="I31" i="1"/>
  <c r="G32" i="1" a="1"/>
  <c r="G32" i="1"/>
  <c r="H32" i="1"/>
  <c r="I32" i="1"/>
  <c r="G159" i="1" a="1"/>
  <c r="G159" i="1"/>
  <c r="H159" i="1"/>
  <c r="I159" i="1"/>
  <c r="G283" i="1" a="1"/>
  <c r="G283" i="1"/>
  <c r="H283" i="1"/>
  <c r="I283" i="1"/>
  <c r="G284" i="1" a="1"/>
  <c r="G284" i="1"/>
  <c r="H284" i="1"/>
  <c r="I284" i="1"/>
  <c r="G326" i="1" a="1"/>
  <c r="G326" i="1"/>
  <c r="H326" i="1"/>
  <c r="I326" i="1"/>
  <c r="G327" i="1" a="1"/>
  <c r="G327" i="1"/>
  <c r="H327" i="1"/>
  <c r="I327" i="1"/>
  <c r="G371" i="1" a="1"/>
  <c r="G371" i="1"/>
  <c r="H371" i="1"/>
  <c r="I371" i="1"/>
  <c r="G415" i="1" a="1"/>
  <c r="G415" i="1"/>
  <c r="H415" i="1"/>
  <c r="I415" i="1"/>
  <c r="G416" i="1" a="1"/>
  <c r="G416" i="1"/>
  <c r="H416" i="1"/>
  <c r="I416" i="1"/>
  <c r="G458" i="1" a="1"/>
  <c r="G458" i="1"/>
  <c r="H458" i="1"/>
  <c r="I458" i="1"/>
  <c r="G459" i="1" a="1"/>
  <c r="G459" i="1"/>
  <c r="H459" i="1"/>
  <c r="I459" i="1"/>
  <c r="G496" i="1" a="1"/>
  <c r="G496" i="1"/>
  <c r="H496" i="1"/>
  <c r="I496" i="1"/>
  <c r="G497" i="1" a="1"/>
  <c r="G497" i="1"/>
  <c r="H497" i="1"/>
  <c r="I497" i="1"/>
  <c r="G33" i="1" a="1"/>
  <c r="G33" i="1"/>
  <c r="H33" i="1"/>
  <c r="I33" i="1"/>
  <c r="G160" i="1" a="1"/>
  <c r="G160" i="1"/>
  <c r="H160" i="1"/>
  <c r="I160" i="1"/>
  <c r="G161" i="1" a="1"/>
  <c r="G161" i="1"/>
  <c r="H161" i="1"/>
  <c r="I161" i="1"/>
  <c r="G162" i="1" a="1"/>
  <c r="G162" i="1"/>
  <c r="H162" i="1"/>
  <c r="I162" i="1"/>
  <c r="G207" i="1" a="1"/>
  <c r="G207" i="1"/>
  <c r="H207" i="1"/>
  <c r="I207" i="1"/>
  <c r="G208" i="1" a="1"/>
  <c r="G208" i="1"/>
  <c r="H208" i="1"/>
  <c r="I208" i="1"/>
  <c r="G209" i="1" a="1"/>
  <c r="G209" i="1"/>
  <c r="H209" i="1"/>
  <c r="I209" i="1"/>
  <c r="G249" i="1" a="1"/>
  <c r="G249" i="1"/>
  <c r="H249" i="1"/>
  <c r="I249" i="1"/>
  <c r="G285" i="1" a="1"/>
  <c r="G285" i="1"/>
  <c r="H285" i="1"/>
  <c r="I285" i="1"/>
  <c r="G328" i="1" a="1"/>
  <c r="G328" i="1"/>
  <c r="H328" i="1"/>
  <c r="I328" i="1"/>
  <c r="G372" i="1" a="1"/>
  <c r="G372" i="1"/>
  <c r="H372" i="1"/>
  <c r="I372" i="1"/>
  <c r="G373" i="1" a="1"/>
  <c r="G373" i="1"/>
  <c r="H373" i="1"/>
  <c r="I373" i="1"/>
  <c r="G417" i="1" a="1"/>
  <c r="G417" i="1"/>
  <c r="H417" i="1"/>
  <c r="I417" i="1"/>
  <c r="G418" i="1" a="1"/>
  <c r="G418" i="1"/>
  <c r="H418" i="1"/>
  <c r="I418" i="1"/>
  <c r="G419" i="1" a="1"/>
  <c r="G419" i="1"/>
  <c r="H419" i="1"/>
  <c r="I419" i="1"/>
  <c r="G498" i="1" a="1"/>
  <c r="G498" i="1"/>
  <c r="H498" i="1"/>
  <c r="I498" i="1"/>
  <c r="G499" i="1" a="1"/>
  <c r="G499" i="1"/>
  <c r="H499" i="1"/>
  <c r="I499" i="1"/>
  <c r="G34" i="1" a="1"/>
  <c r="G34" i="1"/>
  <c r="H34" i="1"/>
  <c r="I34" i="1"/>
  <c r="G81" i="1" a="1"/>
  <c r="G81" i="1"/>
  <c r="H81" i="1"/>
  <c r="I81" i="1"/>
  <c r="G82" i="1" a="1"/>
  <c r="G82" i="1"/>
  <c r="H82" i="1"/>
  <c r="I82" i="1"/>
  <c r="G83" i="1" a="1"/>
  <c r="G83" i="1"/>
  <c r="H83" i="1"/>
  <c r="I83" i="1"/>
  <c r="G118" i="1" a="1"/>
  <c r="G118" i="1"/>
  <c r="H118" i="1"/>
  <c r="I118" i="1"/>
  <c r="G250" i="1" a="1"/>
  <c r="G250" i="1"/>
  <c r="H250" i="1"/>
  <c r="I250" i="1"/>
  <c r="G286" i="1" a="1"/>
  <c r="G286" i="1"/>
  <c r="H286" i="1"/>
  <c r="I286" i="1"/>
  <c r="G287" i="1" a="1"/>
  <c r="G287" i="1"/>
  <c r="H287" i="1"/>
  <c r="I287" i="1"/>
  <c r="G288" i="1" a="1"/>
  <c r="G288" i="1"/>
  <c r="H288" i="1"/>
  <c r="I288" i="1"/>
  <c r="G329" i="1" a="1"/>
  <c r="G329" i="1"/>
  <c r="H329" i="1"/>
  <c r="I329" i="1"/>
  <c r="G330" i="1" a="1"/>
  <c r="G330" i="1"/>
  <c r="H330" i="1"/>
  <c r="I330" i="1"/>
  <c r="G420" i="1" a="1"/>
  <c r="G420" i="1"/>
  <c r="H420" i="1"/>
  <c r="I420" i="1"/>
  <c r="G460" i="1" a="1"/>
  <c r="G460" i="1"/>
  <c r="H460" i="1"/>
  <c r="I460" i="1"/>
  <c r="G461" i="1" a="1"/>
  <c r="G461" i="1"/>
  <c r="H461" i="1"/>
  <c r="I461" i="1"/>
  <c r="G462" i="1" a="1"/>
  <c r="G462" i="1"/>
  <c r="H462" i="1"/>
  <c r="I462" i="1"/>
  <c r="G500" i="1" a="1"/>
  <c r="G500" i="1"/>
  <c r="H500" i="1"/>
  <c r="I500" i="1"/>
  <c r="G501" i="1" a="1"/>
  <c r="G501" i="1"/>
  <c r="H501" i="1"/>
  <c r="I501" i="1"/>
  <c r="G502" i="1" a="1"/>
  <c r="G502" i="1"/>
  <c r="H502" i="1"/>
  <c r="I502" i="1"/>
  <c r="G35" i="1" a="1"/>
  <c r="G35" i="1"/>
  <c r="H35" i="1"/>
  <c r="I35" i="1"/>
  <c r="G36" i="1" a="1"/>
  <c r="G36" i="1"/>
  <c r="H36" i="1"/>
  <c r="I36" i="1"/>
  <c r="G37" i="1" a="1"/>
  <c r="G37" i="1"/>
  <c r="H37" i="1"/>
  <c r="I37" i="1"/>
  <c r="G84" i="1" a="1"/>
  <c r="G84" i="1"/>
  <c r="H84" i="1"/>
  <c r="I84" i="1"/>
  <c r="G85" i="1" a="1"/>
  <c r="G85" i="1"/>
  <c r="H85" i="1"/>
  <c r="I85" i="1"/>
  <c r="G119" i="1" a="1"/>
  <c r="G119" i="1"/>
  <c r="H119" i="1"/>
  <c r="I119" i="1"/>
  <c r="G120" i="1" a="1"/>
  <c r="G120" i="1"/>
  <c r="H120" i="1"/>
  <c r="I120" i="1"/>
  <c r="G163" i="1" a="1"/>
  <c r="G163" i="1"/>
  <c r="H163" i="1"/>
  <c r="I163" i="1"/>
  <c r="G210" i="1" a="1"/>
  <c r="G210" i="1"/>
  <c r="H210" i="1"/>
  <c r="I210" i="1"/>
  <c r="G251" i="1" a="1"/>
  <c r="G251" i="1"/>
  <c r="H251" i="1"/>
  <c r="I251" i="1"/>
  <c r="G252" i="1" a="1"/>
  <c r="G252" i="1"/>
  <c r="H252" i="1"/>
  <c r="I252" i="1"/>
  <c r="G331" i="1" a="1"/>
  <c r="G331" i="1"/>
  <c r="H331" i="1"/>
  <c r="I331" i="1"/>
  <c r="G332" i="1" a="1"/>
  <c r="G332" i="1"/>
  <c r="H332" i="1"/>
  <c r="I332" i="1"/>
  <c r="G374" i="1" a="1"/>
  <c r="G374" i="1"/>
  <c r="H374" i="1"/>
  <c r="I374" i="1"/>
  <c r="G375" i="1" a="1"/>
  <c r="G375" i="1"/>
  <c r="H375" i="1"/>
  <c r="I375" i="1"/>
  <c r="G421" i="1" a="1"/>
  <c r="G421" i="1"/>
  <c r="H421" i="1"/>
  <c r="I421" i="1"/>
  <c r="G463" i="1" a="1"/>
  <c r="G463" i="1"/>
  <c r="H463" i="1"/>
  <c r="I463" i="1"/>
  <c r="G464" i="1" a="1"/>
  <c r="G464" i="1"/>
  <c r="H464" i="1"/>
  <c r="I464" i="1"/>
  <c r="G503" i="1" a="1"/>
  <c r="G503" i="1"/>
  <c r="H503" i="1"/>
  <c r="I503" i="1"/>
  <c r="G504" i="1" a="1"/>
  <c r="G504" i="1"/>
  <c r="H504" i="1"/>
  <c r="I504" i="1"/>
  <c r="G505" i="1" a="1"/>
  <c r="G505" i="1"/>
  <c r="H505" i="1"/>
  <c r="I505" i="1"/>
  <c r="G38" i="1" a="1"/>
  <c r="G38" i="1"/>
  <c r="H38" i="1"/>
  <c r="I38" i="1"/>
  <c r="G86" i="1" a="1"/>
  <c r="G86" i="1"/>
  <c r="H86" i="1"/>
  <c r="I86" i="1"/>
  <c r="G121" i="1" a="1"/>
  <c r="G121" i="1"/>
  <c r="H121" i="1"/>
  <c r="I121" i="1"/>
  <c r="G164" i="1" a="1"/>
  <c r="G164" i="1"/>
  <c r="H164" i="1"/>
  <c r="I164" i="1"/>
  <c r="G165" i="1" a="1"/>
  <c r="G165" i="1"/>
  <c r="H165" i="1"/>
  <c r="I165" i="1"/>
  <c r="G166" i="1" a="1"/>
  <c r="G166" i="1"/>
  <c r="H166" i="1"/>
  <c r="I166" i="1"/>
  <c r="G167" i="1" a="1"/>
  <c r="G167" i="1"/>
  <c r="H167" i="1"/>
  <c r="I167" i="1"/>
  <c r="G253" i="1" a="1"/>
  <c r="G253" i="1"/>
  <c r="H253" i="1"/>
  <c r="I253" i="1"/>
  <c r="G333" i="1" a="1"/>
  <c r="G333" i="1"/>
  <c r="H333" i="1"/>
  <c r="I333" i="1"/>
  <c r="G334" i="1" a="1"/>
  <c r="G334" i="1"/>
  <c r="H334" i="1"/>
  <c r="I334" i="1"/>
  <c r="G376" i="1" a="1"/>
  <c r="G376" i="1"/>
  <c r="H376" i="1"/>
  <c r="I376" i="1"/>
  <c r="G422" i="1" a="1"/>
  <c r="G422" i="1"/>
  <c r="H422" i="1"/>
  <c r="I422" i="1"/>
  <c r="G465" i="1" a="1"/>
  <c r="G465" i="1"/>
  <c r="H465" i="1"/>
  <c r="I465" i="1"/>
  <c r="G39" i="1" a="1"/>
  <c r="G39" i="1"/>
  <c r="H39" i="1"/>
  <c r="I39" i="1"/>
  <c r="G122" i="1" a="1"/>
  <c r="G122" i="1"/>
  <c r="H122" i="1"/>
  <c r="I122" i="1"/>
  <c r="G168" i="1" a="1"/>
  <c r="G168" i="1"/>
  <c r="H168" i="1"/>
  <c r="I168" i="1"/>
  <c r="G169" i="1" a="1"/>
  <c r="G169" i="1"/>
  <c r="H169" i="1"/>
  <c r="I169" i="1"/>
  <c r="G170" i="1" a="1"/>
  <c r="G170" i="1"/>
  <c r="H170" i="1"/>
  <c r="I170" i="1"/>
  <c r="G171" i="1" a="1"/>
  <c r="G171" i="1"/>
  <c r="H171" i="1"/>
  <c r="I171" i="1"/>
  <c r="G289" i="1" a="1"/>
  <c r="G289" i="1"/>
  <c r="H289" i="1"/>
  <c r="I289" i="1"/>
  <c r="G423" i="1" a="1"/>
  <c r="G423" i="1"/>
  <c r="H423" i="1"/>
  <c r="I423" i="1"/>
  <c r="G466" i="1" a="1"/>
  <c r="G466" i="1"/>
  <c r="H466" i="1"/>
  <c r="I466" i="1"/>
  <c r="G506" i="1" a="1"/>
  <c r="G506" i="1"/>
  <c r="H506" i="1"/>
  <c r="I506" i="1"/>
  <c r="G507" i="1" a="1"/>
  <c r="G507" i="1"/>
  <c r="H507" i="1"/>
  <c r="I507" i="1"/>
  <c r="G508" i="1" a="1"/>
  <c r="G508" i="1"/>
  <c r="H508" i="1"/>
  <c r="I508" i="1"/>
  <c r="G40" i="1" a="1"/>
  <c r="G40" i="1"/>
  <c r="H40" i="1"/>
  <c r="I40" i="1"/>
  <c r="G41" i="1" a="1"/>
  <c r="G41" i="1"/>
  <c r="H41" i="1"/>
  <c r="I41" i="1"/>
  <c r="G42" i="1" a="1"/>
  <c r="G42" i="1"/>
  <c r="H42" i="1"/>
  <c r="I42" i="1"/>
  <c r="G43" i="1" a="1"/>
  <c r="G43" i="1"/>
  <c r="H43" i="1"/>
  <c r="I43" i="1"/>
  <c r="G123" i="1" a="1"/>
  <c r="G123" i="1"/>
  <c r="H123" i="1"/>
  <c r="I123" i="1"/>
  <c r="G211" i="1" a="1"/>
  <c r="G211" i="1"/>
  <c r="H211" i="1"/>
  <c r="I211" i="1"/>
  <c r="G212" i="1" a="1"/>
  <c r="G212" i="1"/>
  <c r="H212" i="1"/>
  <c r="I212" i="1"/>
  <c r="G213" i="1" a="1"/>
  <c r="G213" i="1"/>
  <c r="H213" i="1"/>
  <c r="I213" i="1"/>
  <c r="G290" i="1" a="1"/>
  <c r="G290" i="1"/>
  <c r="H290" i="1"/>
  <c r="I290" i="1"/>
  <c r="G335" i="1" a="1"/>
  <c r="G335" i="1"/>
  <c r="H335" i="1"/>
  <c r="I335" i="1"/>
  <c r="G336" i="1" a="1"/>
  <c r="G336" i="1"/>
  <c r="H336" i="1"/>
  <c r="I336" i="1"/>
  <c r="G337" i="1" a="1"/>
  <c r="G337" i="1"/>
  <c r="H337" i="1"/>
  <c r="I337" i="1"/>
  <c r="G424" i="1" a="1"/>
  <c r="G424" i="1"/>
  <c r="H424" i="1"/>
  <c r="I424" i="1"/>
  <c r="G425" i="1" a="1"/>
  <c r="G425" i="1"/>
  <c r="H425" i="1"/>
  <c r="I425" i="1"/>
  <c r="G2" i="1" a="1"/>
  <c r="G2" i="1"/>
  <c r="H2" i="1"/>
  <c r="I2" i="1"/>
  <c r="C4" i="3"/>
  <c r="C5" i="3"/>
  <c r="C6" i="3"/>
  <c r="C3" i="3"/>
  <c r="E386" i="1" a="1"/>
  <c r="E386" i="1"/>
  <c r="E253" i="1" a="1"/>
  <c r="E253" i="1"/>
  <c r="E410" i="1" a="1"/>
  <c r="E410" i="1"/>
  <c r="E143" i="1" a="1"/>
  <c r="E143" i="1"/>
  <c r="E443" i="1" a="1"/>
  <c r="E443" i="1"/>
  <c r="E411" i="1" a="1"/>
  <c r="E411" i="1"/>
  <c r="E420" i="1" a="1"/>
  <c r="E420" i="1"/>
  <c r="E39" i="1" a="1"/>
  <c r="E39" i="1"/>
  <c r="E483" i="1" a="1"/>
  <c r="E483" i="1"/>
  <c r="E417" i="1" a="1"/>
  <c r="E417" i="1"/>
  <c r="E333" i="1" a="1"/>
  <c r="E333" i="1"/>
  <c r="E422" i="1" a="1"/>
  <c r="E422" i="1"/>
  <c r="E286" i="1" a="1"/>
  <c r="E286" i="1"/>
  <c r="E392" i="1" a="1"/>
  <c r="E392" i="1"/>
  <c r="E73" i="1" a="1"/>
  <c r="E73" i="1"/>
  <c r="E158" i="1" a="1"/>
  <c r="E158" i="1"/>
  <c r="E194" i="1" a="1"/>
  <c r="E194" i="1"/>
  <c r="E471" i="1" a="1"/>
  <c r="E471" i="1"/>
  <c r="E247" i="1" a="1"/>
  <c r="E247" i="1"/>
  <c r="E479" i="1" a="1"/>
  <c r="E479" i="1"/>
  <c r="E488" i="1" a="1"/>
  <c r="E488" i="1"/>
  <c r="E66" i="1" a="1"/>
  <c r="E66" i="1"/>
  <c r="E277" i="1" a="1"/>
  <c r="E277" i="1"/>
  <c r="E220" i="1" a="1"/>
  <c r="E220" i="1"/>
  <c r="E465" i="1" a="1"/>
  <c r="E465" i="1"/>
  <c r="E164" i="1" a="1"/>
  <c r="E164" i="1"/>
  <c r="E21" i="1" a="1"/>
  <c r="E21" i="1"/>
  <c r="E190" i="1" a="1"/>
  <c r="E190" i="1"/>
  <c r="E106" i="1" a="1"/>
  <c r="E106" i="1"/>
  <c r="E104" i="1" a="1"/>
  <c r="E104" i="1"/>
  <c r="E428" i="1" a="1"/>
  <c r="E428" i="1"/>
  <c r="E101" i="1" a="1"/>
  <c r="E101" i="1"/>
  <c r="E350" i="1" a="1"/>
  <c r="E350" i="1"/>
  <c r="E489" i="1" a="1"/>
  <c r="E489" i="1"/>
  <c r="E359" i="1" a="1"/>
  <c r="E359" i="1"/>
  <c r="E207" i="1" a="1"/>
  <c r="E207" i="1"/>
  <c r="E140" i="1" a="1"/>
  <c r="E140" i="1"/>
  <c r="E335" i="1" a="1"/>
  <c r="E335" i="1"/>
  <c r="E496" i="1" a="1"/>
  <c r="E496" i="1"/>
  <c r="E35" i="1" a="1"/>
  <c r="E35" i="1"/>
  <c r="E444" i="1" a="1"/>
  <c r="E444" i="1"/>
  <c r="E149" i="1" a="1"/>
  <c r="E149" i="1"/>
  <c r="E46" i="1" a="1"/>
  <c r="E46" i="1"/>
  <c r="E86" i="1" a="1"/>
  <c r="E86" i="1"/>
  <c r="E91" i="1" a="1"/>
  <c r="E91" i="1"/>
  <c r="E365" i="1" a="1"/>
  <c r="E365" i="1"/>
  <c r="E172" i="1" a="1"/>
  <c r="E172" i="1"/>
  <c r="E372" i="1" a="1"/>
  <c r="E372" i="1"/>
  <c r="E283" i="1" a="1"/>
  <c r="E283" i="1"/>
  <c r="E403" i="1" a="1"/>
  <c r="E403" i="1"/>
  <c r="E366" i="1" a="1"/>
  <c r="E366" i="1"/>
  <c r="E377" i="1" a="1"/>
  <c r="E377" i="1"/>
  <c r="E480" i="1" a="1"/>
  <c r="E480" i="1"/>
  <c r="E336" i="1" a="1"/>
  <c r="E336" i="1"/>
  <c r="E341" i="1" a="1"/>
  <c r="E341" i="1"/>
  <c r="E81" i="1" a="1"/>
  <c r="E81" i="1"/>
  <c r="E257" i="1" a="1"/>
  <c r="E257" i="1"/>
  <c r="E303" i="1" a="1"/>
  <c r="E303" i="1"/>
  <c r="E413" i="1" a="1"/>
  <c r="E413" i="1"/>
  <c r="E475" i="1" a="1"/>
  <c r="E475" i="1"/>
  <c r="E258" i="1" a="1"/>
  <c r="E258" i="1"/>
  <c r="E119" i="1" a="1"/>
  <c r="E119" i="1"/>
  <c r="E57" i="1" a="1"/>
  <c r="E57" i="1"/>
  <c r="E30" i="1" a="1"/>
  <c r="E30" i="1"/>
  <c r="E275" i="1" a="1"/>
  <c r="E275" i="1"/>
  <c r="E331" i="1" a="1"/>
  <c r="E331" i="1"/>
  <c r="E352" i="1" a="1"/>
  <c r="E352" i="1"/>
  <c r="E319" i="1" a="1"/>
  <c r="E319" i="1"/>
  <c r="E490" i="1" a="1"/>
  <c r="E490" i="1"/>
  <c r="E454" i="1" a="1"/>
  <c r="E454" i="1"/>
  <c r="E125" i="1" a="1"/>
  <c r="E125" i="1"/>
  <c r="E82" i="1" a="1"/>
  <c r="E82" i="1"/>
  <c r="E468" i="1" a="1"/>
  <c r="E468" i="1"/>
  <c r="E151" i="1" a="1"/>
  <c r="E151" i="1"/>
  <c r="E370" i="1" a="1"/>
  <c r="E370" i="1"/>
  <c r="E278" i="1" a="1"/>
  <c r="E278" i="1"/>
  <c r="E34" i="1" a="1"/>
  <c r="E34" i="1"/>
  <c r="E31" i="1" a="1"/>
  <c r="E31" i="1"/>
  <c r="E305" i="1" a="1"/>
  <c r="E305" i="1"/>
  <c r="E346" i="1" a="1"/>
  <c r="E346" i="1"/>
  <c r="E132" i="1" a="1"/>
  <c r="E132" i="1"/>
  <c r="E235" i="1" a="1"/>
  <c r="E235" i="1"/>
  <c r="E242" i="1" a="1"/>
  <c r="E242" i="1"/>
  <c r="E102" i="1" a="1"/>
  <c r="E102" i="1"/>
  <c r="E4" i="1" a="1"/>
  <c r="E4" i="1"/>
  <c r="E354" i="1" a="1"/>
  <c r="E354" i="1"/>
  <c r="E398" i="1" a="1"/>
  <c r="E398" i="1"/>
  <c r="E348" i="1" a="1"/>
  <c r="E348" i="1"/>
  <c r="E94" i="1" a="1"/>
  <c r="E94" i="1"/>
  <c r="E314" i="1" a="1"/>
  <c r="E314" i="1"/>
  <c r="E415" i="1" a="1"/>
  <c r="E415" i="1"/>
  <c r="E418" i="1" a="1"/>
  <c r="E418" i="1"/>
  <c r="E498" i="1" a="1"/>
  <c r="E498" i="1"/>
  <c r="E163" i="1" a="1"/>
  <c r="E163" i="1"/>
  <c r="E447" i="1" a="1"/>
  <c r="E447" i="1"/>
  <c r="E51" i="1" a="1"/>
  <c r="E51" i="1"/>
  <c r="E2" i="1" a="1"/>
  <c r="E2" i="1"/>
  <c r="E225" i="1" a="1"/>
  <c r="E225" i="1"/>
  <c r="E191" i="1" a="1"/>
  <c r="E191" i="1"/>
  <c r="E426" i="1" a="1"/>
  <c r="E426" i="1"/>
  <c r="E47" i="1" a="1"/>
  <c r="E47" i="1"/>
  <c r="E481" i="1" a="1"/>
  <c r="E481" i="1"/>
  <c r="E48" i="1" a="1"/>
  <c r="E48" i="1"/>
  <c r="E126" i="1" a="1"/>
  <c r="E126" i="1"/>
  <c r="E469" i="1" a="1"/>
  <c r="E469" i="1"/>
  <c r="E306" i="1" a="1"/>
  <c r="E306" i="1"/>
  <c r="E320" i="1" a="1"/>
  <c r="E320" i="1"/>
  <c r="E293" i="1" a="1"/>
  <c r="E293" i="1"/>
  <c r="E262" i="1" a="1"/>
  <c r="E262" i="1"/>
  <c r="E256" i="1" a="1"/>
  <c r="E256" i="1"/>
  <c r="E390" i="1" a="1"/>
  <c r="E390" i="1"/>
  <c r="E165" i="1" a="1"/>
  <c r="E165" i="1"/>
  <c r="E383" i="1" a="1"/>
  <c r="E383" i="1"/>
  <c r="E421" i="1" a="1"/>
  <c r="E421" i="1"/>
  <c r="E329" i="1" a="1"/>
  <c r="E329" i="1"/>
  <c r="E455" i="1" a="1"/>
  <c r="E455" i="1"/>
  <c r="E219" i="1" a="1"/>
  <c r="E219" i="1"/>
  <c r="E349" i="1" a="1"/>
  <c r="E349" i="1"/>
  <c r="E476" i="1" a="1"/>
  <c r="E476" i="1"/>
  <c r="E282" i="1" a="1"/>
  <c r="E282" i="1"/>
  <c r="E439" i="1" a="1"/>
  <c r="E439" i="1"/>
  <c r="E284" i="1" a="1"/>
  <c r="E284" i="1"/>
  <c r="E26" i="1" a="1"/>
  <c r="E26" i="1"/>
  <c r="E361" i="1" a="1"/>
  <c r="E361" i="1"/>
  <c r="E92" i="1" a="1"/>
  <c r="E92" i="1"/>
  <c r="E216" i="1" a="1"/>
  <c r="E216" i="1"/>
  <c r="E453" i="1" a="1"/>
  <c r="E453" i="1"/>
  <c r="E210" i="1" a="1"/>
  <c r="E210" i="1"/>
  <c r="E214" i="1" a="1"/>
  <c r="E214" i="1"/>
  <c r="E363" i="1" a="1"/>
  <c r="E363" i="1"/>
  <c r="E466" i="1" a="1"/>
  <c r="E466" i="1"/>
  <c r="E379" i="1" a="1"/>
  <c r="E379" i="1"/>
  <c r="E414" i="1" a="1"/>
  <c r="E414" i="1"/>
  <c r="E12" i="1" a="1"/>
  <c r="E12" i="1"/>
  <c r="E25" i="1" a="1"/>
  <c r="E25" i="1"/>
  <c r="E323" i="1" a="1"/>
  <c r="E323" i="1"/>
  <c r="E226" i="1" a="1"/>
  <c r="E226" i="1"/>
  <c r="E440" i="1" a="1"/>
  <c r="E440" i="1"/>
  <c r="E254" i="1" a="1"/>
  <c r="E254" i="1"/>
  <c r="E67" i="1" a="1"/>
  <c r="E67" i="1"/>
  <c r="E391" i="1" a="1"/>
  <c r="E391" i="1"/>
  <c r="E338" i="1" a="1"/>
  <c r="E338" i="1"/>
  <c r="E184" i="1" a="1"/>
  <c r="E184" i="1"/>
  <c r="E68" i="1" a="1"/>
  <c r="E68" i="1"/>
  <c r="E84" i="1" a="1"/>
  <c r="E84" i="1"/>
  <c r="E264" i="1" a="1"/>
  <c r="E264" i="1"/>
  <c r="E265" i="1" a="1"/>
  <c r="E265" i="1"/>
  <c r="E141" i="1" a="1"/>
  <c r="E141" i="1"/>
  <c r="E267" i="1" a="1"/>
  <c r="E267" i="1"/>
  <c r="E328" i="1" a="1"/>
  <c r="E328" i="1"/>
  <c r="E120" i="1" a="1"/>
  <c r="E120" i="1"/>
  <c r="E400" i="1" a="1"/>
  <c r="E400" i="1"/>
  <c r="E55" i="1" a="1"/>
  <c r="E55" i="1"/>
  <c r="E139" i="1" a="1"/>
  <c r="E139" i="1"/>
  <c r="E409" i="1" a="1"/>
  <c r="E409" i="1"/>
  <c r="E28" i="1" a="1"/>
  <c r="E28" i="1"/>
  <c r="E49" i="1" a="1"/>
  <c r="E49" i="1"/>
  <c r="E339" i="1" a="1"/>
  <c r="E339" i="1"/>
  <c r="E192" i="1" a="1"/>
  <c r="E192" i="1"/>
  <c r="E393" i="1" a="1"/>
  <c r="E393" i="1"/>
  <c r="E168" i="1" a="1"/>
  <c r="E168" i="1"/>
  <c r="E429" i="1" a="1"/>
  <c r="E429" i="1"/>
  <c r="E109" i="1" a="1"/>
  <c r="E109" i="1"/>
  <c r="E285" i="1" a="1"/>
  <c r="E285" i="1"/>
  <c r="E316" i="1" a="1"/>
  <c r="E316" i="1"/>
  <c r="E406" i="1" a="1"/>
  <c r="E406" i="1"/>
  <c r="E240" i="1" a="1"/>
  <c r="E240" i="1"/>
  <c r="E334" i="1" a="1"/>
  <c r="E334" i="1"/>
  <c r="E175" i="1" a="1"/>
  <c r="E175" i="1"/>
  <c r="E412" i="1" a="1"/>
  <c r="E412" i="1"/>
  <c r="E263" i="1" a="1"/>
  <c r="E263" i="1"/>
  <c r="E203" i="1" a="1"/>
  <c r="E203" i="1"/>
  <c r="E40" i="1" a="1"/>
  <c r="E40" i="1"/>
  <c r="E54" i="1" a="1"/>
  <c r="E54" i="1"/>
  <c r="E134" i="1" a="1"/>
  <c r="E134" i="1"/>
  <c r="E154" i="1" a="1"/>
  <c r="E154" i="1"/>
  <c r="E5" i="1" a="1"/>
  <c r="E5" i="1"/>
  <c r="E473" i="1" a="1"/>
  <c r="E473" i="1"/>
  <c r="E460" i="1" a="1"/>
  <c r="E460" i="1"/>
  <c r="E294" i="1" a="1"/>
  <c r="E294" i="1"/>
  <c r="E183" i="1" a="1"/>
  <c r="E183" i="1"/>
  <c r="E371" i="1" a="1"/>
  <c r="E371" i="1"/>
  <c r="E500" i="1" a="1"/>
  <c r="E500" i="1"/>
  <c r="E13" i="1" a="1"/>
  <c r="E13" i="1"/>
  <c r="E273" i="1" a="1"/>
  <c r="E273" i="1"/>
  <c r="E401" i="1" a="1"/>
  <c r="E401" i="1"/>
  <c r="E367" i="1" a="1"/>
  <c r="E367" i="1"/>
  <c r="E52" i="1" a="1"/>
  <c r="E52" i="1"/>
  <c r="E97" i="1" a="1"/>
  <c r="E97" i="1"/>
  <c r="E279" i="1" a="1"/>
  <c r="E279" i="1"/>
  <c r="E378" i="1" a="1"/>
  <c r="E378" i="1"/>
  <c r="E437" i="1" a="1"/>
  <c r="E437" i="1"/>
  <c r="E484" i="1" a="1"/>
  <c r="E484" i="1"/>
  <c r="E456" i="1" a="1"/>
  <c r="E456" i="1"/>
  <c r="E130" i="1" a="1"/>
  <c r="E130" i="1"/>
  <c r="E357" i="1" a="1"/>
  <c r="E357" i="1"/>
  <c r="E396" i="1" a="1"/>
  <c r="E396" i="1"/>
  <c r="E431" i="1" a="1"/>
  <c r="E431" i="1"/>
  <c r="E311" i="1" a="1"/>
  <c r="E311" i="1"/>
  <c r="E261" i="1" a="1"/>
  <c r="E261" i="1"/>
  <c r="E241" i="1" a="1"/>
  <c r="E241" i="1"/>
  <c r="E114" i="1" a="1"/>
  <c r="E114" i="1"/>
  <c r="E22" i="1" a="1"/>
  <c r="E22" i="1"/>
  <c r="E221" i="1" a="1"/>
  <c r="E221" i="1"/>
  <c r="E127" i="1" a="1"/>
  <c r="E127" i="1"/>
  <c r="E87" i="1" a="1"/>
  <c r="E87" i="1"/>
  <c r="E237" i="1" a="1"/>
  <c r="E237" i="1"/>
  <c r="E128" i="1" a="1"/>
  <c r="E128" i="1"/>
  <c r="E33" i="1" a="1"/>
  <c r="E33" i="1"/>
  <c r="E463" i="1" a="1"/>
  <c r="E463" i="1"/>
  <c r="E79" i="1" a="1"/>
  <c r="E79" i="1"/>
  <c r="E117" i="1" a="1"/>
  <c r="E117" i="1"/>
  <c r="E14" i="1" a="1"/>
  <c r="E14" i="1"/>
  <c r="E416" i="1" a="1"/>
  <c r="E416" i="1"/>
  <c r="E115" i="1" a="1"/>
  <c r="E115" i="1"/>
  <c r="E251" i="1" a="1"/>
  <c r="E251" i="1"/>
  <c r="E271" i="1" a="1"/>
  <c r="E271" i="1"/>
  <c r="E236" i="1" a="1"/>
  <c r="E236" i="1"/>
  <c r="E9" i="1" a="1"/>
  <c r="E9" i="1"/>
  <c r="E326" i="1" a="1"/>
  <c r="E326" i="1"/>
  <c r="E380" i="1" a="1"/>
  <c r="E380" i="1"/>
  <c r="E317" i="1" a="1"/>
  <c r="E317" i="1"/>
  <c r="E116" i="1" a="1"/>
  <c r="E116" i="1"/>
  <c r="E477" i="1" a="1"/>
  <c r="E477" i="1"/>
  <c r="E218" i="1" a="1"/>
  <c r="E218" i="1"/>
  <c r="E95" i="1" a="1"/>
  <c r="E95" i="1"/>
  <c r="E15" i="1" a="1"/>
  <c r="E15" i="1"/>
  <c r="E137" i="1" a="1"/>
  <c r="E137" i="1"/>
  <c r="E166" i="1" a="1"/>
  <c r="E166" i="1"/>
  <c r="E433" i="1" a="1"/>
  <c r="E433" i="1"/>
  <c r="E250" i="1" a="1"/>
  <c r="E250" i="1"/>
  <c r="E287" i="1" a="1"/>
  <c r="E287" i="1"/>
  <c r="E315" i="1" a="1"/>
  <c r="E315" i="1"/>
  <c r="E98" i="1" a="1"/>
  <c r="E98" i="1"/>
  <c r="E131" i="1" a="1"/>
  <c r="E131" i="1"/>
  <c r="E448" i="1" a="1"/>
  <c r="E448" i="1"/>
  <c r="E321" i="1" a="1"/>
  <c r="E321" i="1"/>
  <c r="E252" i="1" a="1"/>
  <c r="E252" i="1"/>
  <c r="E482" i="1" a="1"/>
  <c r="E482" i="1"/>
  <c r="E155" i="1" a="1"/>
  <c r="E155" i="1"/>
  <c r="E384" i="1" a="1"/>
  <c r="E384" i="1"/>
  <c r="E222" i="1" a="1"/>
  <c r="E222" i="1"/>
  <c r="E497" i="1" a="1"/>
  <c r="E497" i="1"/>
  <c r="E340" i="1" a="1"/>
  <c r="E340" i="1"/>
  <c r="E344" i="1" a="1"/>
  <c r="E344" i="1"/>
  <c r="E124" i="1" a="1"/>
  <c r="E124" i="1"/>
  <c r="E369" i="1" a="1"/>
  <c r="E369" i="1"/>
  <c r="E202" i="1" a="1"/>
  <c r="E202" i="1"/>
  <c r="E56" i="1" a="1"/>
  <c r="E56" i="1"/>
  <c r="E499" i="1" a="1"/>
  <c r="E499" i="1"/>
  <c r="E71" i="1" a="1"/>
  <c r="E71" i="1"/>
  <c r="E290" i="1" a="1"/>
  <c r="E290" i="1"/>
  <c r="E374" i="1" a="1"/>
  <c r="E374" i="1"/>
  <c r="E121" i="1" a="1"/>
  <c r="E121" i="1"/>
  <c r="E404" i="1" a="1"/>
  <c r="E404" i="1"/>
  <c r="E41" i="1" a="1"/>
  <c r="E41" i="1"/>
  <c r="E387" i="1" a="1"/>
  <c r="E387" i="1"/>
  <c r="E118" i="1" a="1"/>
  <c r="E118" i="1"/>
  <c r="E193" i="1" a="1"/>
  <c r="E193" i="1"/>
  <c r="E232" i="1" a="1"/>
  <c r="E232" i="1"/>
  <c r="E259" i="1" a="1"/>
  <c r="E259" i="1"/>
  <c r="E110" i="1" a="1"/>
  <c r="E110" i="1"/>
  <c r="E449" i="1" a="1"/>
  <c r="E449" i="1"/>
  <c r="E195" i="1" a="1"/>
  <c r="E195" i="1"/>
  <c r="E355" i="1" a="1"/>
  <c r="E355" i="1"/>
  <c r="E8" i="1" a="1"/>
  <c r="E8" i="1"/>
  <c r="E280" i="1" a="1"/>
  <c r="E280" i="1"/>
  <c r="E452" i="1" a="1"/>
  <c r="E452" i="1"/>
  <c r="E347" i="1" a="1"/>
  <c r="E347" i="1"/>
  <c r="E85" i="1" a="1"/>
  <c r="E85" i="1"/>
  <c r="E215" i="1" a="1"/>
  <c r="E215" i="1"/>
  <c r="E424" i="1" a="1"/>
  <c r="E424" i="1"/>
  <c r="E238" i="1" a="1"/>
  <c r="E238" i="1"/>
  <c r="E93" i="1" a="1"/>
  <c r="E93" i="1"/>
  <c r="E503" i="1" a="1"/>
  <c r="E503" i="1"/>
  <c r="E458" i="1" a="1"/>
  <c r="E458" i="1"/>
  <c r="E208" i="1" a="1"/>
  <c r="E208" i="1"/>
  <c r="E309" i="1" a="1"/>
  <c r="E309" i="1"/>
  <c r="E196" i="1" a="1"/>
  <c r="E196" i="1"/>
  <c r="E227" i="1" a="1"/>
  <c r="E227" i="1"/>
  <c r="E205" i="1" a="1"/>
  <c r="E205" i="1"/>
  <c r="E312" i="1" a="1"/>
  <c r="E312" i="1"/>
  <c r="E233" i="1" a="1"/>
  <c r="E233" i="1"/>
  <c r="E332" i="1" a="1"/>
  <c r="E332" i="1"/>
  <c r="E153" i="1" a="1"/>
  <c r="E153" i="1"/>
  <c r="E451" i="1" a="1"/>
  <c r="E451" i="1"/>
  <c r="E69" i="1" a="1"/>
  <c r="E69" i="1"/>
  <c r="E142" i="1" a="1"/>
  <c r="E142" i="1"/>
  <c r="E144" i="1" a="1"/>
  <c r="E144" i="1"/>
  <c r="E419" i="1" a="1"/>
  <c r="E419" i="1"/>
  <c r="E249" i="1" a="1"/>
  <c r="E249" i="1"/>
  <c r="E136" i="1" a="1"/>
  <c r="E136" i="1"/>
  <c r="E360" i="1" a="1"/>
  <c r="E360" i="1"/>
  <c r="E288" i="1" a="1"/>
  <c r="E288" i="1"/>
  <c r="E268" i="1" a="1"/>
  <c r="E268" i="1"/>
  <c r="E230" i="1" a="1"/>
  <c r="E230" i="1"/>
  <c r="E133" i="1" a="1"/>
  <c r="E133" i="1"/>
  <c r="E181" i="1" a="1"/>
  <c r="E181" i="1"/>
  <c r="E211" i="1" a="1"/>
  <c r="E211" i="1"/>
  <c r="E423" i="1" a="1"/>
  <c r="E423" i="1"/>
  <c r="E156" i="1" a="1"/>
  <c r="E156" i="1"/>
  <c r="E178" i="1" a="1"/>
  <c r="E178" i="1"/>
  <c r="E159" i="1" a="1"/>
  <c r="E159" i="1"/>
  <c r="E167" i="1" a="1"/>
  <c r="E167" i="1"/>
  <c r="E212" i="1" a="1"/>
  <c r="E212" i="1"/>
  <c r="E213" i="1" a="1"/>
  <c r="E213" i="1"/>
  <c r="E493" i="1" a="1"/>
  <c r="E493" i="1"/>
  <c r="E289" i="1" a="1"/>
  <c r="E289" i="1"/>
  <c r="E62" i="1" a="1"/>
  <c r="E62" i="1"/>
  <c r="E491" i="1" a="1"/>
  <c r="E491" i="1"/>
  <c r="E129" i="1" a="1"/>
  <c r="E129" i="1"/>
  <c r="E368" i="1" a="1"/>
  <c r="E368" i="1"/>
  <c r="E50" i="1" a="1"/>
  <c r="E50" i="1"/>
  <c r="E322" i="1" a="1"/>
  <c r="E322" i="1"/>
  <c r="E246" i="1" a="1"/>
  <c r="E246" i="1"/>
  <c r="E435" i="1" a="1"/>
  <c r="E435" i="1"/>
  <c r="E3" i="1" a="1"/>
  <c r="E3" i="1"/>
  <c r="E337" i="1" a="1"/>
  <c r="E337" i="1"/>
  <c r="E185" i="1" a="1"/>
  <c r="E185" i="1"/>
  <c r="E197" i="1" a="1"/>
  <c r="E197" i="1"/>
  <c r="E169" i="1" a="1"/>
  <c r="E169" i="1"/>
  <c r="E29" i="1" a="1"/>
  <c r="E29" i="1"/>
  <c r="E75" i="1" a="1"/>
  <c r="E75" i="1"/>
  <c r="E494" i="1" a="1"/>
  <c r="E494" i="1"/>
  <c r="E107" i="1" a="1"/>
  <c r="E107" i="1"/>
  <c r="E27" i="1" a="1"/>
  <c r="E27" i="1"/>
  <c r="E228" i="1" a="1"/>
  <c r="E228" i="1"/>
  <c r="E327" i="1" a="1"/>
  <c r="E327" i="1"/>
  <c r="E395" i="1" a="1"/>
  <c r="E395" i="1"/>
  <c r="E223" i="1" a="1"/>
  <c r="E223" i="1"/>
  <c r="E461" i="1" a="1"/>
  <c r="E461" i="1"/>
  <c r="E441" i="1" a="1"/>
  <c r="E441" i="1"/>
  <c r="E487" i="1" a="1"/>
  <c r="E487" i="1"/>
  <c r="E76" i="1" a="1"/>
  <c r="E76" i="1"/>
  <c r="E170" i="1" a="1"/>
  <c r="E170" i="1"/>
  <c r="E147" i="1" a="1"/>
  <c r="E147" i="1"/>
  <c r="E388" i="1" a="1"/>
  <c r="E388" i="1"/>
  <c r="E77" i="1" a="1"/>
  <c r="E77" i="1"/>
  <c r="E291" i="1" a="1"/>
  <c r="E291" i="1"/>
  <c r="E64" i="1" a="1"/>
  <c r="E64" i="1"/>
  <c r="E90" i="1" a="1"/>
  <c r="E90" i="1"/>
  <c r="E58" i="1" a="1"/>
  <c r="E58" i="1"/>
  <c r="E425" i="1" a="1"/>
  <c r="E425" i="1"/>
  <c r="E302" i="1" a="1"/>
  <c r="E302" i="1"/>
  <c r="E59" i="1" a="1"/>
  <c r="E59" i="1"/>
  <c r="E464" i="1" a="1"/>
  <c r="E464" i="1"/>
  <c r="E281" i="1" a="1"/>
  <c r="E281" i="1"/>
  <c r="E231" i="1" a="1"/>
  <c r="E231" i="1"/>
  <c r="E171" i="1" a="1"/>
  <c r="E171" i="1"/>
  <c r="E299" i="1" a="1"/>
  <c r="E299" i="1"/>
  <c r="E506" i="1" a="1"/>
  <c r="E506" i="1"/>
  <c r="E507" i="1" a="1"/>
  <c r="E507" i="1"/>
  <c r="E209" i="1" a="1"/>
  <c r="E209" i="1"/>
  <c r="E96" i="1" a="1"/>
  <c r="E96" i="1"/>
  <c r="E307" i="1" a="1"/>
  <c r="E307" i="1"/>
  <c r="E78" i="1" a="1"/>
  <c r="E78" i="1"/>
  <c r="E88" i="1" a="1"/>
  <c r="E88" i="1"/>
  <c r="E229" i="1" a="1"/>
  <c r="E229" i="1"/>
  <c r="E405" i="1" a="1"/>
  <c r="E405" i="1"/>
  <c r="E295" i="1" a="1"/>
  <c r="E295" i="1"/>
  <c r="E501" i="1" a="1"/>
  <c r="E501" i="1"/>
  <c r="E381" i="1" a="1"/>
  <c r="E381" i="1"/>
  <c r="E297" i="1" a="1"/>
  <c r="E297" i="1"/>
  <c r="E324" i="1" a="1"/>
  <c r="E324" i="1"/>
  <c r="E445" i="1" a="1"/>
  <c r="E445" i="1"/>
  <c r="E292" i="1" a="1"/>
  <c r="E292" i="1"/>
  <c r="E63" i="1" a="1"/>
  <c r="E63" i="1"/>
  <c r="E206" i="1" a="1"/>
  <c r="E206" i="1"/>
  <c r="E19" i="1" a="1"/>
  <c r="E19" i="1"/>
  <c r="E351" i="1" a="1"/>
  <c r="E351" i="1"/>
  <c r="E23" i="1" a="1"/>
  <c r="E23" i="1"/>
  <c r="E111" i="1" a="1"/>
  <c r="E111" i="1"/>
  <c r="E266" i="1" a="1"/>
  <c r="E266" i="1"/>
  <c r="E201" i="1" a="1"/>
  <c r="E201" i="1"/>
  <c r="E204" i="1" a="1"/>
  <c r="E204" i="1"/>
  <c r="E385" i="1" a="1"/>
  <c r="E385" i="1"/>
  <c r="E160" i="1" a="1"/>
  <c r="E160" i="1"/>
  <c r="E44" i="1" a="1"/>
  <c r="E44" i="1"/>
  <c r="E72" i="1" a="1"/>
  <c r="E72" i="1"/>
  <c r="E24" i="1" a="1"/>
  <c r="E24" i="1"/>
  <c r="E432" i="1" a="1"/>
  <c r="E432" i="1"/>
  <c r="E42" i="1" a="1"/>
  <c r="E42" i="1"/>
  <c r="E173" i="1" a="1"/>
  <c r="E173" i="1"/>
  <c r="E123" i="1" a="1"/>
  <c r="E123" i="1"/>
  <c r="E150" i="1" a="1"/>
  <c r="E150" i="1"/>
  <c r="E375" i="1" a="1"/>
  <c r="E375" i="1"/>
  <c r="E179" i="1" a="1"/>
  <c r="E179" i="1"/>
  <c r="E276" i="1" a="1"/>
  <c r="E276" i="1"/>
  <c r="E478" i="1" a="1"/>
  <c r="E478" i="1"/>
  <c r="E427" i="1" a="1"/>
  <c r="E427" i="1"/>
  <c r="E83" i="1" a="1"/>
  <c r="E83" i="1"/>
  <c r="E434" i="1" a="1"/>
  <c r="E434" i="1"/>
  <c r="E187" i="1" a="1"/>
  <c r="E187" i="1"/>
  <c r="E112" i="1" a="1"/>
  <c r="E112" i="1"/>
  <c r="E472" i="1" a="1"/>
  <c r="E472" i="1"/>
  <c r="E148" i="1" a="1"/>
  <c r="E148" i="1"/>
  <c r="E105" i="1" a="1"/>
  <c r="E105" i="1"/>
  <c r="E272" i="1" a="1"/>
  <c r="E272" i="1"/>
  <c r="E430" i="1" a="1"/>
  <c r="E430" i="1"/>
  <c r="E274" i="1" a="1"/>
  <c r="E274" i="1"/>
  <c r="E16" i="1" a="1"/>
  <c r="E16" i="1"/>
  <c r="E459" i="1" a="1"/>
  <c r="E459" i="1"/>
  <c r="E234" i="1" a="1"/>
  <c r="E234" i="1"/>
  <c r="E353" i="1" a="1"/>
  <c r="E353" i="1"/>
  <c r="E113" i="1" a="1"/>
  <c r="E113" i="1"/>
  <c r="E65" i="1" a="1"/>
  <c r="E65" i="1"/>
  <c r="E308" i="1" a="1"/>
  <c r="E308" i="1"/>
  <c r="E296" i="1" a="1"/>
  <c r="E296" i="1"/>
  <c r="E45" i="1" a="1"/>
  <c r="E45" i="1"/>
  <c r="E407" i="1" a="1"/>
  <c r="E407" i="1"/>
  <c r="E389" i="1" a="1"/>
  <c r="E389" i="1"/>
  <c r="E199" i="1" a="1"/>
  <c r="E199" i="1"/>
  <c r="E174" i="1" a="1"/>
  <c r="E174" i="1"/>
  <c r="E325" i="1" a="1"/>
  <c r="E325" i="1"/>
  <c r="E504" i="1" a="1"/>
  <c r="E504" i="1"/>
  <c r="E248" i="1" a="1"/>
  <c r="E248" i="1"/>
  <c r="E397" i="1" a="1"/>
  <c r="E397" i="1"/>
  <c r="E198" i="1" a="1"/>
  <c r="E198" i="1"/>
  <c r="E122" i="1" a="1"/>
  <c r="E122" i="1"/>
  <c r="E318" i="1" a="1"/>
  <c r="E318" i="1"/>
  <c r="E36" i="1" a="1"/>
  <c r="E36" i="1"/>
  <c r="E108" i="1" a="1"/>
  <c r="E108" i="1"/>
  <c r="E364" i="1" a="1"/>
  <c r="E364" i="1"/>
  <c r="E304" i="1" a="1"/>
  <c r="E304" i="1"/>
  <c r="E342" i="1" a="1"/>
  <c r="E342" i="1"/>
  <c r="E356" i="1" a="1"/>
  <c r="E356" i="1"/>
  <c r="E446" i="1" a="1"/>
  <c r="E446" i="1"/>
  <c r="E176" i="1" a="1"/>
  <c r="E176" i="1"/>
  <c r="E188" i="1" a="1"/>
  <c r="E188" i="1"/>
  <c r="E330" i="1" a="1"/>
  <c r="E330" i="1"/>
  <c r="E470" i="1" a="1"/>
  <c r="E470" i="1"/>
  <c r="E10" i="1" a="1"/>
  <c r="E10" i="1"/>
  <c r="E6" i="1" a="1"/>
  <c r="E6" i="1"/>
  <c r="E358" i="1" a="1"/>
  <c r="E358" i="1"/>
  <c r="E300" i="1" a="1"/>
  <c r="E300" i="1"/>
  <c r="E217" i="1" a="1"/>
  <c r="E217" i="1"/>
  <c r="E269" i="1" a="1"/>
  <c r="E269" i="1"/>
  <c r="E89" i="1" a="1"/>
  <c r="E89" i="1"/>
  <c r="E17" i="1" a="1"/>
  <c r="E17" i="1"/>
  <c r="E382" i="1" a="1"/>
  <c r="E382" i="1"/>
  <c r="E7" i="1" a="1"/>
  <c r="E7" i="1"/>
  <c r="E485" i="1" a="1"/>
  <c r="E485" i="1"/>
  <c r="E244" i="1" a="1"/>
  <c r="E244" i="1"/>
  <c r="E103" i="1" a="1"/>
  <c r="E103" i="1"/>
  <c r="E394" i="1" a="1"/>
  <c r="E394" i="1"/>
  <c r="E270" i="1" a="1"/>
  <c r="E270" i="1"/>
  <c r="E298" i="1" a="1"/>
  <c r="E298" i="1"/>
  <c r="E343" i="1" a="1"/>
  <c r="E343" i="1"/>
  <c r="E80" i="1" a="1"/>
  <c r="E80" i="1"/>
  <c r="E182" i="1" a="1"/>
  <c r="E182" i="1"/>
  <c r="E467" i="1" a="1"/>
  <c r="E467" i="1"/>
  <c r="E138" i="1" a="1"/>
  <c r="E138" i="1"/>
  <c r="E11" i="1" a="1"/>
  <c r="E11" i="1"/>
  <c r="E313" i="1" a="1"/>
  <c r="E313" i="1"/>
  <c r="E255" i="1" a="1"/>
  <c r="E255" i="1"/>
  <c r="E457" i="1" a="1"/>
  <c r="E457" i="1"/>
  <c r="E18" i="1" a="1"/>
  <c r="E18" i="1"/>
  <c r="E508" i="1" a="1"/>
  <c r="E508" i="1"/>
  <c r="E239" i="1" a="1"/>
  <c r="E239" i="1"/>
  <c r="E438" i="1" a="1"/>
  <c r="E438" i="1"/>
  <c r="E20" i="1" a="1"/>
  <c r="E20" i="1"/>
  <c r="E486" i="1" a="1"/>
  <c r="E486" i="1"/>
  <c r="E60" i="1" a="1"/>
  <c r="E60" i="1"/>
  <c r="E177" i="1" a="1"/>
  <c r="E177" i="1"/>
  <c r="E373" i="1" a="1"/>
  <c r="E373" i="1"/>
  <c r="E37" i="1" a="1"/>
  <c r="E37" i="1"/>
  <c r="E224" i="1" a="1"/>
  <c r="E224" i="1"/>
  <c r="E152" i="1" a="1"/>
  <c r="E152" i="1"/>
  <c r="E53" i="1" a="1"/>
  <c r="E53" i="1"/>
  <c r="E505" i="1" a="1"/>
  <c r="E505" i="1"/>
  <c r="E502" i="1" a="1"/>
  <c r="E502" i="1"/>
  <c r="E474" i="1" a="1"/>
  <c r="E474" i="1"/>
  <c r="E100" i="1" a="1"/>
  <c r="E100" i="1"/>
  <c r="E462" i="1" a="1"/>
  <c r="E462" i="1"/>
  <c r="E38" i="1" a="1"/>
  <c r="E38" i="1"/>
  <c r="E135" i="1" a="1"/>
  <c r="E135" i="1"/>
  <c r="E345" i="1" a="1"/>
  <c r="E345" i="1"/>
  <c r="E161" i="1" a="1"/>
  <c r="E161" i="1"/>
  <c r="E301" i="1" a="1"/>
  <c r="E301" i="1"/>
  <c r="E99" i="1" a="1"/>
  <c r="E99" i="1"/>
  <c r="E436" i="1" a="1"/>
  <c r="E436" i="1"/>
  <c r="E376" i="1" a="1"/>
  <c r="E376" i="1"/>
  <c r="E157" i="1" a="1"/>
  <c r="E157" i="1"/>
  <c r="E61" i="1" a="1"/>
  <c r="E61" i="1"/>
  <c r="E189" i="1" a="1"/>
  <c r="E189" i="1"/>
  <c r="E402" i="1" a="1"/>
  <c r="E402" i="1"/>
  <c r="E492" i="1" a="1"/>
  <c r="E492" i="1"/>
  <c r="E442" i="1" a="1"/>
  <c r="E442" i="1"/>
  <c r="E495" i="1" a="1"/>
  <c r="E495" i="1"/>
  <c r="E145" i="1" a="1"/>
  <c r="E145" i="1"/>
  <c r="E43" i="1" a="1"/>
  <c r="E43" i="1"/>
  <c r="E450" i="1" a="1"/>
  <c r="E450" i="1"/>
  <c r="E146" i="1" a="1"/>
  <c r="E146" i="1"/>
  <c r="E70" i="1" a="1"/>
  <c r="E70" i="1"/>
  <c r="E362" i="1" a="1"/>
  <c r="E362" i="1"/>
  <c r="E245" i="1" a="1"/>
  <c r="E245" i="1"/>
  <c r="E74" i="1" a="1"/>
  <c r="E74" i="1"/>
  <c r="E32" i="1" a="1"/>
  <c r="E32" i="1"/>
  <c r="E243" i="1" a="1"/>
  <c r="E243" i="1"/>
  <c r="E310" i="1" a="1"/>
  <c r="E310" i="1"/>
  <c r="E162" i="1" a="1"/>
  <c r="E162" i="1"/>
  <c r="E260" i="1" a="1"/>
  <c r="E260" i="1"/>
  <c r="E186" i="1" a="1"/>
  <c r="E186" i="1"/>
  <c r="E408" i="1" a="1"/>
  <c r="E408" i="1"/>
  <c r="E180" i="1" a="1"/>
  <c r="E180" i="1"/>
  <c r="E200" i="1" a="1"/>
  <c r="E200" i="1"/>
  <c r="E399" i="1" a="1"/>
  <c r="E3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<sst xmlns="http://schemas.openxmlformats.org/spreadsheetml/2006/main" count="2490" uniqueCount="353">
  <si>
    <t>Fecha de la operación</t>
  </si>
  <si>
    <t>Segmento de cliente</t>
  </si>
  <si>
    <t>Horas de trabajo</t>
  </si>
  <si>
    <t>15/10/2024</t>
  </si>
  <si>
    <t>Inspecciones técnicas</t>
  </si>
  <si>
    <t>05/10/2024</t>
  </si>
  <si>
    <t>Federaciones y asociaciones deportivas</t>
  </si>
  <si>
    <t>29/06/2024</t>
  </si>
  <si>
    <t>22/10/2024</t>
  </si>
  <si>
    <t>14/04/2024</t>
  </si>
  <si>
    <t>13/11/2024</t>
  </si>
  <si>
    <t>27/10/2024</t>
  </si>
  <si>
    <t>Eventos particulares</t>
  </si>
  <si>
    <t>30/01/2024</t>
  </si>
  <si>
    <t>19/12/2024</t>
  </si>
  <si>
    <t>26/10/2024</t>
  </si>
  <si>
    <t>29/08/2024</t>
  </si>
  <si>
    <t>Inspecciones agrícolas</t>
  </si>
  <si>
    <t>29/10/2024</t>
  </si>
  <si>
    <t>27/07/2024</t>
  </si>
  <si>
    <t>09/10/2024</t>
  </si>
  <si>
    <t>20/02/2024</t>
  </si>
  <si>
    <t>23/04/2024</t>
  </si>
  <si>
    <t>13/05/2024</t>
  </si>
  <si>
    <t>05/12/2024</t>
  </si>
  <si>
    <t>24/06/2024</t>
  </si>
  <si>
    <t>14/12/2024</t>
  </si>
  <si>
    <t>22/12/2024</t>
  </si>
  <si>
    <t>17/02/2024</t>
  </si>
  <si>
    <t>20/07/2024</t>
  </si>
  <si>
    <t>09/06/2024</t>
  </si>
  <si>
    <t>29/11/2024</t>
  </si>
  <si>
    <t>29/04/2024</t>
  </si>
  <si>
    <t>18/01/2024</t>
  </si>
  <si>
    <t>10/05/2024</t>
  </si>
  <si>
    <t>20/03/2024</t>
  </si>
  <si>
    <t>19/03/2024</t>
  </si>
  <si>
    <t>03/11/2024</t>
  </si>
  <si>
    <t>18/03/2024</t>
  </si>
  <si>
    <t>10/09/2024</t>
  </si>
  <si>
    <t>17/09/2024</t>
  </si>
  <si>
    <t>26/05/2024</t>
  </si>
  <si>
    <t>13/04/2024</t>
  </si>
  <si>
    <t>31/08/2024</t>
  </si>
  <si>
    <t>25/12/2024</t>
  </si>
  <si>
    <t>28/01/2024</t>
  </si>
  <si>
    <t>14/11/2024</t>
  </si>
  <si>
    <t>17/04/2024</t>
  </si>
  <si>
    <t>04/02/2024</t>
  </si>
  <si>
    <t>29/02/2024</t>
  </si>
  <si>
    <t>04/03/2024</t>
  </si>
  <si>
    <t>20/09/2024</t>
  </si>
  <si>
    <t>01/05/2024</t>
  </si>
  <si>
    <t>26/09/2024</t>
  </si>
  <si>
    <t>25/07/2024</t>
  </si>
  <si>
    <t>19/10/2024</t>
  </si>
  <si>
    <t>01/10/2024</t>
  </si>
  <si>
    <t>15/12/2024</t>
  </si>
  <si>
    <t>02/09/2024</t>
  </si>
  <si>
    <t>27/02/2024</t>
  </si>
  <si>
    <t>03/07/2024</t>
  </si>
  <si>
    <t>10/08/2024</t>
  </si>
  <si>
    <t>24/10/2024</t>
  </si>
  <si>
    <t>12/12/2024</t>
  </si>
  <si>
    <t>28/03/2024</t>
  </si>
  <si>
    <t>11/02/2024</t>
  </si>
  <si>
    <t>25/01/2024</t>
  </si>
  <si>
    <t>18/07/2024</t>
  </si>
  <si>
    <t>28/08/2024</t>
  </si>
  <si>
    <t>12/09/2024</t>
  </si>
  <si>
    <t>20/08/2024</t>
  </si>
  <si>
    <t>24/11/2024</t>
  </si>
  <si>
    <t>02/04/2024</t>
  </si>
  <si>
    <t>03/12/2024</t>
  </si>
  <si>
    <t>18/04/2024</t>
  </si>
  <si>
    <t>24/09/2024</t>
  </si>
  <si>
    <t>21/07/2024</t>
  </si>
  <si>
    <t>27/01/2024</t>
  </si>
  <si>
    <t>12/08/2024</t>
  </si>
  <si>
    <t>06/09/2024</t>
  </si>
  <si>
    <t>08/04/2024</t>
  </si>
  <si>
    <t>17/06/2024</t>
  </si>
  <si>
    <t>20/06/2024</t>
  </si>
  <si>
    <t>04/01/2024</t>
  </si>
  <si>
    <t>13/09/2024</t>
  </si>
  <si>
    <t>14/10/2024</t>
  </si>
  <si>
    <t>07/09/2024</t>
  </si>
  <si>
    <t>11/03/2024</t>
  </si>
  <si>
    <t>17/08/2024</t>
  </si>
  <si>
    <t>25/10/2024</t>
  </si>
  <si>
    <t>26/12/2024</t>
  </si>
  <si>
    <t>28/04/2024</t>
  </si>
  <si>
    <t>16/11/2024</t>
  </si>
  <si>
    <t>06/02/2024</t>
  </si>
  <si>
    <t>01/01/2024</t>
  </si>
  <si>
    <t>12/06/2024</t>
  </si>
  <si>
    <t>01/11/2024</t>
  </si>
  <si>
    <t>05/02/2024</t>
  </si>
  <si>
    <t>04/04/2024</t>
  </si>
  <si>
    <t>03/08/2024</t>
  </si>
  <si>
    <t>08/07/2024</t>
  </si>
  <si>
    <t>02/07/2024</t>
  </si>
  <si>
    <t>07/10/2024</t>
  </si>
  <si>
    <t>04/10/2024</t>
  </si>
  <si>
    <t>28/10/2024</t>
  </si>
  <si>
    <t>27/08/2024</t>
  </si>
  <si>
    <t>08/06/2024</t>
  </si>
  <si>
    <t>08/09/2024</t>
  </si>
  <si>
    <t>13/12/2024</t>
  </si>
  <si>
    <t>24/07/2024</t>
  </si>
  <si>
    <t>11/11/2024</t>
  </si>
  <si>
    <t>23/01/2024</t>
  </si>
  <si>
    <t>18/09/2024</t>
  </si>
  <si>
    <t>06/03/2024</t>
  </si>
  <si>
    <t>02/06/2024</t>
  </si>
  <si>
    <t>23/11/2024</t>
  </si>
  <si>
    <t>28/05/2024</t>
  </si>
  <si>
    <t>01/06/2024</t>
  </si>
  <si>
    <t>19/09/2024</t>
  </si>
  <si>
    <t>30/11/2024</t>
  </si>
  <si>
    <t>02/10/2024</t>
  </si>
  <si>
    <t>11/01/2024</t>
  </si>
  <si>
    <t>21/01/2024</t>
  </si>
  <si>
    <t>21/08/2024</t>
  </si>
  <si>
    <t>01/07/2024</t>
  </si>
  <si>
    <t>18/02/2024</t>
  </si>
  <si>
    <t>08/10/2024</t>
  </si>
  <si>
    <t>01/09/2024</t>
  </si>
  <si>
    <t>06/05/2024</t>
  </si>
  <si>
    <t>28/02/2024</t>
  </si>
  <si>
    <t>09/07/2024</t>
  </si>
  <si>
    <t>10/07/2024</t>
  </si>
  <si>
    <t>12/07/2024</t>
  </si>
  <si>
    <t>26/08/2024</t>
  </si>
  <si>
    <t>09/02/2024</t>
  </si>
  <si>
    <t>12/04/2024</t>
  </si>
  <si>
    <t>21/10/2024</t>
  </si>
  <si>
    <t>24/01/2024</t>
  </si>
  <si>
    <t>30/04/2024</t>
  </si>
  <si>
    <t>21/03/2024</t>
  </si>
  <si>
    <t>26/07/2024</t>
  </si>
  <si>
    <t>18/08/2024</t>
  </si>
  <si>
    <t>20/10/2024</t>
  </si>
  <si>
    <t>19/06/2024</t>
  </si>
  <si>
    <t>02/05/2024</t>
  </si>
  <si>
    <t>23/05/2024</t>
  </si>
  <si>
    <t>31/01/2024</t>
  </si>
  <si>
    <t>08/02/2024</t>
  </si>
  <si>
    <t>09/04/2024</t>
  </si>
  <si>
    <t>21/04/2024</t>
  </si>
  <si>
    <t>05/01/2024</t>
  </si>
  <si>
    <t>08/12/2024</t>
  </si>
  <si>
    <t>27/11/2024</t>
  </si>
  <si>
    <t>05/05/2024</t>
  </si>
  <si>
    <t>25/09/2024</t>
  </si>
  <si>
    <t>27/12/2024</t>
  </si>
  <si>
    <t>15/07/2024</t>
  </si>
  <si>
    <t>12/03/2024</t>
  </si>
  <si>
    <t>22/07/2024</t>
  </si>
  <si>
    <t>09/11/2024</t>
  </si>
  <si>
    <t>06/04/2024</t>
  </si>
  <si>
    <t>16/09/2024</t>
  </si>
  <si>
    <t>13/10/2024</t>
  </si>
  <si>
    <t>05/11/2024</t>
  </si>
  <si>
    <t>16/08/2024</t>
  </si>
  <si>
    <t>06/07/2024</t>
  </si>
  <si>
    <t>23/03/2024</t>
  </si>
  <si>
    <t>10/06/2024</t>
  </si>
  <si>
    <t>01/03/2024</t>
  </si>
  <si>
    <t>18/06/2024</t>
  </si>
  <si>
    <t>26/01/2024</t>
  </si>
  <si>
    <t>28/11/2024</t>
  </si>
  <si>
    <t>22/02/2024</t>
  </si>
  <si>
    <t>24/03/2024</t>
  </si>
  <si>
    <t>12/01/2024</t>
  </si>
  <si>
    <t>28/06/2024</t>
  </si>
  <si>
    <t>14/07/2024</t>
  </si>
  <si>
    <t>09/01/2024</t>
  </si>
  <si>
    <t>25/08/2024</t>
  </si>
  <si>
    <t>03/10/2024</t>
  </si>
  <si>
    <t>05/06/2024</t>
  </si>
  <si>
    <t>13/01/2024</t>
  </si>
  <si>
    <t>11/04/2024</t>
  </si>
  <si>
    <t>07/11/2024</t>
  </si>
  <si>
    <t>27/06/2024</t>
  </si>
  <si>
    <t>05/09/2024</t>
  </si>
  <si>
    <t>01/04/2024</t>
  </si>
  <si>
    <t>22/09/2024</t>
  </si>
  <si>
    <t>18/05/2024</t>
  </si>
  <si>
    <t>10/02/2024</t>
  </si>
  <si>
    <t>19/02/2024</t>
  </si>
  <si>
    <t>31/07/2024</t>
  </si>
  <si>
    <t>28/09/2024</t>
  </si>
  <si>
    <t>29/03/2024</t>
  </si>
  <si>
    <t>27/03/2024</t>
  </si>
  <si>
    <t>11/05/2024</t>
  </si>
  <si>
    <t>15/06/2024</t>
  </si>
  <si>
    <t>14/05/2024</t>
  </si>
  <si>
    <t>07/01/2024</t>
  </si>
  <si>
    <t>22/11/2024</t>
  </si>
  <si>
    <t>31/10/2024</t>
  </si>
  <si>
    <t>28/12/2024</t>
  </si>
  <si>
    <t>25/11/2024</t>
  </si>
  <si>
    <t>15/08/2024</t>
  </si>
  <si>
    <t>24/05/2024</t>
  </si>
  <si>
    <t>20/04/2024</t>
  </si>
  <si>
    <t>20/11/2024</t>
  </si>
  <si>
    <t>26/06/2024</t>
  </si>
  <si>
    <t>10/04/2024</t>
  </si>
  <si>
    <t>13/07/2024</t>
  </si>
  <si>
    <t>14/06/2024</t>
  </si>
  <si>
    <t>04/05/2024</t>
  </si>
  <si>
    <t>31/05/2024</t>
  </si>
  <si>
    <t>30/10/2024</t>
  </si>
  <si>
    <t>03/05/2024</t>
  </si>
  <si>
    <t>25/04/2024</t>
  </si>
  <si>
    <t>23/12/2024</t>
  </si>
  <si>
    <t>30/07/2024</t>
  </si>
  <si>
    <t>13/02/2024</t>
  </si>
  <si>
    <t>05/04/2024</t>
  </si>
  <si>
    <t>23/06/2024</t>
  </si>
  <si>
    <t>08/11/2024</t>
  </si>
  <si>
    <t>03/01/2024</t>
  </si>
  <si>
    <t>21/02/2024</t>
  </si>
  <si>
    <t>10/10/2024</t>
  </si>
  <si>
    <t>11/06/2024</t>
  </si>
  <si>
    <t>21/12/2024</t>
  </si>
  <si>
    <t>16/04/2024</t>
  </si>
  <si>
    <t>01/08/2024</t>
  </si>
  <si>
    <t>15/02/2024</t>
  </si>
  <si>
    <t>02/03/2024</t>
  </si>
  <si>
    <t>09/08/2024</t>
  </si>
  <si>
    <t>23/07/2024</t>
  </si>
  <si>
    <t>08/08/2024</t>
  </si>
  <si>
    <t>30/12/2024</t>
  </si>
  <si>
    <t>13/08/2024</t>
  </si>
  <si>
    <t>13/06/2024</t>
  </si>
  <si>
    <t>05/08/2024</t>
  </si>
  <si>
    <t>07/08/2024</t>
  </si>
  <si>
    <t>15/01/2024</t>
  </si>
  <si>
    <t>22/03/2024</t>
  </si>
  <si>
    <t>17/05/2024</t>
  </si>
  <si>
    <t>26/04/2024</t>
  </si>
  <si>
    <t>02/02/2024</t>
  </si>
  <si>
    <t>20/01/2024</t>
  </si>
  <si>
    <t>06/11/2024</t>
  </si>
  <si>
    <t>31/03/2024</t>
  </si>
  <si>
    <t>19/07/2024</t>
  </si>
  <si>
    <t>02/11/2024</t>
  </si>
  <si>
    <t>07/05/2024</t>
  </si>
  <si>
    <t>17/07/2024</t>
  </si>
  <si>
    <t>14/01/2024</t>
  </si>
  <si>
    <t>16/06/2024</t>
  </si>
  <si>
    <t>16/02/2024</t>
  </si>
  <si>
    <t>06/10/2024</t>
  </si>
  <si>
    <t>15/05/2024</t>
  </si>
  <si>
    <t>22/08/2024</t>
  </si>
  <si>
    <t>30/03/2024</t>
  </si>
  <si>
    <t>19/08/2024</t>
  </si>
  <si>
    <t>11/08/2024</t>
  </si>
  <si>
    <t>03/09/2024</t>
  </si>
  <si>
    <t>15/09/2024</t>
  </si>
  <si>
    <t>09/05/2024</t>
  </si>
  <si>
    <t>04/12/2024</t>
  </si>
  <si>
    <t>21/06/2024</t>
  </si>
  <si>
    <t>02/12/2024</t>
  </si>
  <si>
    <t>20/12/2024</t>
  </si>
  <si>
    <t>09/12/2024</t>
  </si>
  <si>
    <t>14/03/2024</t>
  </si>
  <si>
    <t>29/01/2024</t>
  </si>
  <si>
    <t>13/03/2024</t>
  </si>
  <si>
    <t>29/09/2024</t>
  </si>
  <si>
    <t>22/04/2024</t>
  </si>
  <si>
    <t>12/02/2024</t>
  </si>
  <si>
    <t>17/10/2024</t>
  </si>
  <si>
    <t>24/12/2024</t>
  </si>
  <si>
    <t>15/04/2024</t>
  </si>
  <si>
    <t>22/06/2024</t>
  </si>
  <si>
    <t>05/07/2024</t>
  </si>
  <si>
    <t>16/05/2024</t>
  </si>
  <si>
    <t>Valor de la hora de trabajo</t>
  </si>
  <si>
    <t>Valor total de la operación</t>
  </si>
  <si>
    <t>Categoría del piloto responsable</t>
  </si>
  <si>
    <t>Ubicación (Provincia)</t>
  </si>
  <si>
    <t>A Coruña</t>
  </si>
  <si>
    <t>Pontevedra</t>
  </si>
  <si>
    <t>Lugo</t>
  </si>
  <si>
    <t>Ourense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</si>
  <si>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</si>
  <si>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</si>
  <si>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</si>
  <si>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</si>
  <si>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</si>
  <si>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</si>
  <si>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</si>
  <si>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</si>
  <si>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</si>
  <si>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</si>
  <si>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</si>
  <si>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</si>
  <si>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</si>
  <si>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</si>
  <si>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Recuento</t>
  </si>
  <si>
    <t>Suma de Valor total de la operación</t>
  </si>
  <si>
    <t>Columna1</t>
  </si>
  <si>
    <t>Columna2</t>
  </si>
  <si>
    <t>Piloto Junior 1</t>
  </si>
  <si>
    <t>Kilómetros recorridos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</si>
  <si>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</si>
  <si>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</si>
  <si>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</si>
  <si>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</si>
  <si>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</si>
  <si>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</si>
  <si>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</si>
  <si>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</si>
  <si>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</si>
  <si>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</si>
  <si>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</si>
  <si>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</si>
  <si>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</si>
  <si>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</si>
  <si>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</si>
  <si>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</si>
  <si>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</si>
  <si>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</si>
  <si>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</si>
  <si>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</si>
  <si>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</si>
  <si>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</si>
  <si>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</si>
  <si>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Variable X 1</t>
  </si>
  <si>
    <t>Banners en eventos</t>
  </si>
  <si>
    <t>Desarrollo página web</t>
  </si>
  <si>
    <t>Posicionamiento SEO</t>
  </si>
  <si>
    <t>Ferias</t>
  </si>
  <si>
    <t>Implementación de sugerencias</t>
  </si>
  <si>
    <t>Desarrollo de marca</t>
  </si>
  <si>
    <t>Acuerdos de exclusividad</t>
  </si>
  <si>
    <t>Alianzas estratégicas organizadores de eventos</t>
  </si>
  <si>
    <t>Alianzas estratégicas asociaciones agrícolas</t>
  </si>
  <si>
    <t>Material promocional para consumidores finales</t>
  </si>
  <si>
    <t>Material promocional asociaciones agrícolas</t>
  </si>
  <si>
    <t>Ventas totales</t>
  </si>
  <si>
    <t>Presupuesto de marketing</t>
  </si>
  <si>
    <t>Pesimista</t>
  </si>
  <si>
    <t>Moderado</t>
  </si>
  <si>
    <t>Optimista</t>
  </si>
  <si>
    <t>Escenario</t>
  </si>
  <si>
    <t>Ventas eventos particulares</t>
  </si>
  <si>
    <t>Variación</t>
  </si>
  <si>
    <t>Promedio del Valor Total de la operación</t>
  </si>
  <si>
    <t>Verificación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</si>
</sst>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dd/mm/yyyy;@"/>
  </numFmts>
  <fonts count="8" x14ac:knownFonts="1">
    <font>
      <sz val="11"/>
      <name val="Arial"/>
      <family val="1"/>
    </font>
    <font>
      <sz val="11"/>
      <name val="Arial"/>
      <family val="1"/>
    </font>
    <font>
      <b/>
      <sz val="11"/>
      <color theme="0"/>
      <name val="Arial"/>
      <family val="1"/>
    </font>
    <font>
      <sz val="11"/>
      <color theme="1"/>
      <name val="Arial"/>
      <family val="1"/>
    </font>
    <font>
      <b/>
      <i/>
      <sz val="11"/>
      <color theme="0"/>
      <name val="Arial"/>
      <family val="2"/>
    </font>
    <font>
      <b/>
      <sz val="11"/>
      <name val="Arial"/>
      <family val="2"/>
    </font>
    <font>
      <i/>
      <sz val="11"/>
      <name val="Arial"/>
      <family val="1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 diagonalUp="1">
      <left/>
      <right style="thin">
        <color theme="4"/>
      </right>
      <top/>
      <bottom style="thin">
        <color theme="4"/>
      </bottom>
      <diagonal style="thin">
        <color indexed="64"/>
      </diagonal>
    </border>
    <border>
      <left style="thin">
        <color theme="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2" xfId="0" applyFont="1" applyBorder="1"/>
    <xf numFmtId="0" fontId="3" fillId="0" borderId="5" xfId="0" applyFont="1" applyBorder="1"/>
    <xf numFmtId="0" fontId="0" fillId="0" borderId="7" xfId="0" applyBorder="1"/>
    <xf numFmtId="0" fontId="5" fillId="4" borderId="0" xfId="0" applyFont="1" applyFill="1"/>
    <xf numFmtId="9" fontId="3" fillId="0" borderId="2" xfId="1" applyFont="1" applyBorder="1"/>
    <xf numFmtId="0" fontId="0" fillId="0" borderId="0" xfId="0" applyAlignment="1">
      <alignment horizontal="left"/>
    </xf>
    <xf numFmtId="10" fontId="0" fillId="0" borderId="0" xfId="0" applyNumberFormat="1"/>
    <xf numFmtId="165" fontId="0" fillId="0" borderId="0" xfId="0" applyNumberFormat="1"/>
    <xf numFmtId="165" fontId="3" fillId="0" borderId="1" xfId="0" applyNumberFormat="1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5" fontId="3" fillId="0" borderId="2" xfId="0" applyNumberFormat="1" applyFont="1" applyBorder="1"/>
    <xf numFmtId="165" fontId="3" fillId="0" borderId="4" xfId="0" applyNumberFormat="1" applyFont="1" applyBorder="1"/>
    <xf numFmtId="164" fontId="3" fillId="0" borderId="5" xfId="0" applyNumberFormat="1" applyFont="1" applyBorder="1"/>
    <xf numFmtId="164" fontId="3" fillId="0" borderId="6" xfId="0" applyNumberFormat="1" applyFont="1" applyBorder="1"/>
    <xf numFmtId="0" fontId="6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164" fontId="7" fillId="0" borderId="2" xfId="0" applyNumberFormat="1" applyFont="1" applyBorder="1"/>
    <xf numFmtId="0" fontId="2" fillId="2" borderId="1" xfId="0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6" fillId="0" borderId="8" xfId="0" applyFont="1" applyBorder="1" applyAlignment="1">
      <alignment horizontal="center"/>
    </xf>
    <xf numFmtId="0" fontId="0" fillId="0" borderId="12" xfId="0" applyBorder="1"/>
    <xf numFmtId="164" fontId="0" fillId="0" borderId="12" xfId="0" applyNumberFormat="1" applyBorder="1"/>
    <xf numFmtId="0" fontId="0" fillId="0" borderId="13" xfId="0" applyBorder="1"/>
    <xf numFmtId="164" fontId="0" fillId="0" borderId="13" xfId="0" applyNumberFormat="1" applyBorder="1"/>
    <xf numFmtId="10" fontId="0" fillId="0" borderId="12" xfId="1" applyNumberFormat="1" applyFont="1" applyBorder="1"/>
    <xf numFmtId="10" fontId="0" fillId="0" borderId="14" xfId="1" applyNumberFormat="1" applyFont="1" applyBorder="1"/>
    <xf numFmtId="0" fontId="4" fillId="3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5">
    <dxf>
      <numFmt numFmtId="164" formatCode="#,##0.00\ &quot;€&quot;"/>
    </dxf>
    <dxf>
      <numFmt numFmtId="164" formatCode="#,##0.00\ &quot;€&quot;"/>
    </dxf>
    <dxf>
      <numFmt numFmtId="164" formatCode="#,##0.00\ &quot;€&quot;"/>
    </dxf>
    <dxf>
      <numFmt numFmtId="165" formatCode="dd/mm/yyyy;@"/>
    </dxf>
    <dxf>
      <numFmt numFmtId="165" formatCode="dd/mm/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explosion val="17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1B-413A-9931-6422D05E0C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B2-4D52-8457-A68D50AE9D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B2-4D52-8457-A68D50AE9D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51B-413A-9931-6422D05E0C35}"/>
              </c:ext>
            </c:extLst>
          </c:dPt>
          <c:dLbls>
            <c:dLbl>
              <c:idx val="3"/>
              <c:layout>
                <c:manualLayout>
                  <c:x val="0.10449846894138236"/>
                  <c:y val="9.250729075532225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51B-413A-9931-6422D05E0C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'Dist operaciones por segmento'!$B$3:$B$6</c:f>
              <c:strCache>
                <c:ptCount val="4"/>
                <c:pt idx="0">
                  <c:v>Eventos particulares</c:v>
                </c:pt>
                <c:pt idx="1">
                  <c:v>Federaciones y asociaciones deportivas</c:v>
                </c:pt>
                <c:pt idx="2">
                  <c:v>Inspecciones agrícolas</c:v>
                </c:pt>
                <c:pt idx="3">
                  <c:v>Inspecciones técnicas</c:v>
                </c:pt>
              </c:strCache>
            </c:strRef>
          </c:cat>
          <c:val>
            <c:numRef>
              <c:f>'Dist operaciones por segmento'!$C$3:$C$6</c:f>
              <c:numCache>
                <c:formatCode>0%</c:formatCode>
                <c:ptCount val="4"/>
                <c:pt idx="0">
                  <c:v>0.28007889546351084</c:v>
                </c:pt>
                <c:pt idx="1">
                  <c:v>0.11834319526627218</c:v>
                </c:pt>
                <c:pt idx="2">
                  <c:v>0.18343195266272189</c:v>
                </c:pt>
                <c:pt idx="3">
                  <c:v>0.4181459566074951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B-413A-9931-6422D05E0C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[Operaciones 2024.xlsx]Peso segmento en términos monet!TablaDinámica7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'Peso segmento en términos monet'!$B$3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17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8A2-4987-BC5A-0F0137F9B0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09-4AB5-A005-9AC578E2F4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09-4AB5-A005-9AC578E2F4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09-4AB5-A005-9AC578E2F4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'Peso segmento en términos monet'!$A$4:$A$7</c:f>
              <c:strCache>
                <c:ptCount val="4"/>
                <c:pt idx="0">
                  <c:v>Eventos particulares</c:v>
                </c:pt>
                <c:pt idx="1">
                  <c:v>Federaciones y asociaciones deportivas</c:v>
                </c:pt>
                <c:pt idx="2">
                  <c:v>Inspecciones agrícolas</c:v>
                </c:pt>
                <c:pt idx="3">
                  <c:v>Inspecciones técnicas</c:v>
                </c:pt>
              </c:strCache>
            </c:strRef>
          </c:cat>
          <c:val>
            <c:numRef>
              <c:f>'Peso segmento en términos monet'!$B$4:$B$7</c:f>
              <c:numCache>
                <c:formatCode>0.00%</c:formatCode>
                <c:ptCount val="4"/>
                <c:pt idx="0">
                  <c:v>0.24253771238430255</c:v>
                </c:pt>
                <c:pt idx="1">
                  <c:v>0.10328771396194369</c:v>
                </c:pt>
                <c:pt idx="2">
                  <c:v>0.19633482412907449</c:v>
                </c:pt>
                <c:pt idx="3">
                  <c:v>0.45783974952467926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2-4987-BC5A-0F0137F9B09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'Corrección - Agregación'!$B$1</c:f>
              <c:strCache>
                <c:ptCount val="1"/>
                <c:pt idx="0">
                  <c:v>Promedio del Valor Total de la operación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'Corrección - Agregación'!$A$2:$A$100</c:f>
              <c:numCache>
                <c:formatCode>General</c:formatCode>
                <c:ptCount val="99"/>
                <c:pt idx="0">
                  <c:v>97</c:v>
                </c:pt>
                <c:pt idx="1">
                  <c:v>133</c:v>
                </c:pt>
                <c:pt idx="2">
                  <c:v>79</c:v>
                </c:pt>
                <c:pt idx="3">
                  <c:v>11</c:v>
                </c:pt>
                <c:pt idx="4">
                  <c:v>57</c:v>
                </c:pt>
                <c:pt idx="5">
                  <c:v>153</c:v>
                </c:pt>
                <c:pt idx="6">
                  <c:v>205</c:v>
                </c:pt>
                <c:pt idx="7">
                  <c:v>110</c:v>
                </c:pt>
                <c:pt idx="8">
                  <c:v>85</c:v>
                </c:pt>
                <c:pt idx="9">
                  <c:v>51</c:v>
                </c:pt>
                <c:pt idx="10">
                  <c:v>158</c:v>
                </c:pt>
                <c:pt idx="11">
                  <c:v>116</c:v>
                </c:pt>
                <c:pt idx="12">
                  <c:v>68</c:v>
                </c:pt>
                <c:pt idx="13">
                  <c:v>131</c:v>
                </c:pt>
                <c:pt idx="14">
                  <c:v>44</c:v>
                </c:pt>
                <c:pt idx="15">
                  <c:v>99</c:v>
                </c:pt>
                <c:pt idx="16">
                  <c:v>191</c:v>
                </c:pt>
                <c:pt idx="17">
                  <c:v>121</c:v>
                </c:pt>
                <c:pt idx="18">
                  <c:v>170</c:v>
                </c:pt>
                <c:pt idx="19">
                  <c:v>106</c:v>
                </c:pt>
                <c:pt idx="20">
                  <c:v>161</c:v>
                </c:pt>
                <c:pt idx="21">
                  <c:v>175</c:v>
                </c:pt>
                <c:pt idx="22">
                  <c:v>159</c:v>
                </c:pt>
                <c:pt idx="23">
                  <c:v>209</c:v>
                </c:pt>
                <c:pt idx="24">
                  <c:v>19</c:v>
                </c:pt>
                <c:pt idx="25">
                  <c:v>90</c:v>
                </c:pt>
                <c:pt idx="26">
                  <c:v>145</c:v>
                </c:pt>
                <c:pt idx="27">
                  <c:v>108</c:v>
                </c:pt>
                <c:pt idx="28">
                  <c:v>45</c:v>
                </c:pt>
                <c:pt idx="29">
                  <c:v>27</c:v>
                </c:pt>
                <c:pt idx="30">
                  <c:v>87</c:v>
                </c:pt>
                <c:pt idx="31">
                  <c:v>136</c:v>
                </c:pt>
                <c:pt idx="32">
                  <c:v>30</c:v>
                </c:pt>
                <c:pt idx="33">
                  <c:v>115</c:v>
                </c:pt>
                <c:pt idx="34">
                  <c:v>185</c:v>
                </c:pt>
                <c:pt idx="35">
                  <c:v>126</c:v>
                </c:pt>
                <c:pt idx="36">
                  <c:v>169</c:v>
                </c:pt>
                <c:pt idx="37">
                  <c:v>114</c:v>
                </c:pt>
                <c:pt idx="38">
                  <c:v>203</c:v>
                </c:pt>
                <c:pt idx="39">
                  <c:v>47</c:v>
                </c:pt>
                <c:pt idx="40">
                  <c:v>88</c:v>
                </c:pt>
                <c:pt idx="41">
                  <c:v>194</c:v>
                </c:pt>
                <c:pt idx="42">
                  <c:v>199</c:v>
                </c:pt>
                <c:pt idx="43">
                  <c:v>148</c:v>
                </c:pt>
                <c:pt idx="44">
                  <c:v>167</c:v>
                </c:pt>
                <c:pt idx="45">
                  <c:v>78</c:v>
                </c:pt>
                <c:pt idx="46">
                  <c:v>42</c:v>
                </c:pt>
                <c:pt idx="47">
                  <c:v>157</c:v>
                </c:pt>
                <c:pt idx="48">
                  <c:v>183</c:v>
                </c:pt>
                <c:pt idx="49">
                  <c:v>73</c:v>
                </c:pt>
                <c:pt idx="50">
                  <c:v>95</c:v>
                </c:pt>
                <c:pt idx="51">
                  <c:v>178</c:v>
                </c:pt>
                <c:pt idx="52">
                  <c:v>37</c:v>
                </c:pt>
                <c:pt idx="53">
                  <c:v>81</c:v>
                </c:pt>
                <c:pt idx="54">
                  <c:v>31</c:v>
                </c:pt>
                <c:pt idx="55">
                  <c:v>7</c:v>
                </c:pt>
                <c:pt idx="56">
                  <c:v>29</c:v>
                </c:pt>
                <c:pt idx="57">
                  <c:v>172</c:v>
                </c:pt>
                <c:pt idx="58">
                  <c:v>154</c:v>
                </c:pt>
                <c:pt idx="59">
                  <c:v>53</c:v>
                </c:pt>
                <c:pt idx="60">
                  <c:v>48</c:v>
                </c:pt>
                <c:pt idx="61">
                  <c:v>149</c:v>
                </c:pt>
                <c:pt idx="62">
                  <c:v>104</c:v>
                </c:pt>
                <c:pt idx="63">
                  <c:v>123</c:v>
                </c:pt>
                <c:pt idx="64">
                  <c:v>60</c:v>
                </c:pt>
                <c:pt idx="65">
                  <c:v>113</c:v>
                </c:pt>
                <c:pt idx="66">
                  <c:v>65</c:v>
                </c:pt>
                <c:pt idx="67">
                  <c:v>102</c:v>
                </c:pt>
                <c:pt idx="68">
                  <c:v>41</c:v>
                </c:pt>
                <c:pt idx="69">
                  <c:v>139</c:v>
                </c:pt>
                <c:pt idx="70">
                  <c:v>18</c:v>
                </c:pt>
                <c:pt idx="71">
                  <c:v>107</c:v>
                </c:pt>
                <c:pt idx="72">
                  <c:v>2</c:v>
                </c:pt>
                <c:pt idx="73">
                  <c:v>164</c:v>
                </c:pt>
                <c:pt idx="74">
                  <c:v>134</c:v>
                </c:pt>
                <c:pt idx="75">
                  <c:v>174</c:v>
                </c:pt>
                <c:pt idx="76">
                  <c:v>132</c:v>
                </c:pt>
                <c:pt idx="77">
                  <c:v>1</c:v>
                </c:pt>
                <c:pt idx="78">
                  <c:v>72</c:v>
                </c:pt>
                <c:pt idx="79">
                  <c:v>3</c:v>
                </c:pt>
                <c:pt idx="80">
                  <c:v>32</c:v>
                </c:pt>
                <c:pt idx="81">
                  <c:v>35</c:v>
                </c:pt>
                <c:pt idx="82">
                  <c:v>39</c:v>
                </c:pt>
                <c:pt idx="83">
                  <c:v>180</c:v>
                </c:pt>
                <c:pt idx="84">
                  <c:v>125</c:v>
                </c:pt>
                <c:pt idx="85">
                  <c:v>64</c:v>
                </c:pt>
                <c:pt idx="86">
                  <c:v>50</c:v>
                </c:pt>
                <c:pt idx="87">
                  <c:v>128</c:v>
                </c:pt>
                <c:pt idx="88">
                  <c:v>61</c:v>
                </c:pt>
                <c:pt idx="89">
                  <c:v>177</c:v>
                </c:pt>
                <c:pt idx="90">
                  <c:v>190</c:v>
                </c:pt>
                <c:pt idx="91">
                  <c:v>188</c:v>
                </c:pt>
                <c:pt idx="92">
                  <c:v>105</c:v>
                </c:pt>
                <c:pt idx="93">
                  <c:v>98</c:v>
                </c:pt>
                <c:pt idx="94">
                  <c:v>210</c:v>
                </c:pt>
                <c:pt idx="95">
                  <c:v>96</c:v>
                </c:pt>
                <c:pt idx="96">
                  <c:v>56</c:v>
                </c:pt>
                <c:pt idx="97">
                  <c:v>147</c:v>
                </c:pt>
                <c:pt idx="98">
                  <c:v>137</c:v>
                </c:pt>
              </c:numCache>
            </c:numRef>
          </c:xVal>
          <c:yVal>
            <c:numRef>
              <c:f>'Corrección - Agregación'!$B$2:$B$100</c:f>
              <c:numCache>
                <c:formatCode>General</c:formatCode>
                <c:ptCount val="99"/>
                <c:pt idx="0">
                  <c:v>2171.25</c:v>
                </c:pt>
                <c:pt idx="1">
                  <c:v>3012.75</c:v>
                </c:pt>
                <c:pt idx="2">
                  <c:v>1998</c:v>
                </c:pt>
                <c:pt idx="3">
                  <c:v>2414.25</c:v>
                </c:pt>
                <c:pt idx="4">
                  <c:v>2218.0500000000002</c:v>
                </c:pt>
                <c:pt idx="5">
                  <c:v>1201.5</c:v>
                </c:pt>
                <c:pt idx="6">
                  <c:v>2911.5</c:v>
                </c:pt>
                <c:pt idx="7">
                  <c:v>2070</c:v>
                </c:pt>
                <c:pt idx="8">
                  <c:v>2965.5</c:v>
                </c:pt>
                <c:pt idx="9">
                  <c:v>2284.875</c:v>
                </c:pt>
                <c:pt idx="10">
                  <c:v>2408.625</c:v>
                </c:pt>
                <c:pt idx="11">
                  <c:v>2254.5</c:v>
                </c:pt>
                <c:pt idx="12">
                  <c:v>1893.75</c:v>
                </c:pt>
                <c:pt idx="13">
                  <c:v>2479.5</c:v>
                </c:pt>
                <c:pt idx="14">
                  <c:v>2475</c:v>
                </c:pt>
                <c:pt idx="15">
                  <c:v>1759.5</c:v>
                </c:pt>
                <c:pt idx="16">
                  <c:v>1523.25</c:v>
                </c:pt>
                <c:pt idx="17">
                  <c:v>2892.375</c:v>
                </c:pt>
                <c:pt idx="18">
                  <c:v>1467</c:v>
                </c:pt>
                <c:pt idx="19">
                  <c:v>1932.75</c:v>
                </c:pt>
                <c:pt idx="20">
                  <c:v>3384</c:v>
                </c:pt>
                <c:pt idx="21">
                  <c:v>3271.5</c:v>
                </c:pt>
                <c:pt idx="22">
                  <c:v>2116.125</c:v>
                </c:pt>
                <c:pt idx="23">
                  <c:v>3541.5</c:v>
                </c:pt>
                <c:pt idx="24">
                  <c:v>3474</c:v>
                </c:pt>
                <c:pt idx="25">
                  <c:v>3060</c:v>
                </c:pt>
                <c:pt idx="26">
                  <c:v>2493</c:v>
                </c:pt>
                <c:pt idx="27">
                  <c:v>2642.625</c:v>
                </c:pt>
                <c:pt idx="28">
                  <c:v>2187</c:v>
                </c:pt>
                <c:pt idx="29">
                  <c:v>1451.25</c:v>
                </c:pt>
                <c:pt idx="30">
                  <c:v>3080.25</c:v>
                </c:pt>
                <c:pt idx="31">
                  <c:v>1116</c:v>
                </c:pt>
                <c:pt idx="32">
                  <c:v>1301.625</c:v>
                </c:pt>
                <c:pt idx="33">
                  <c:v>1664.4375</c:v>
                </c:pt>
                <c:pt idx="34">
                  <c:v>1808.9999999999998</c:v>
                </c:pt>
                <c:pt idx="35">
                  <c:v>3363.75</c:v>
                </c:pt>
                <c:pt idx="36">
                  <c:v>2996.4375</c:v>
                </c:pt>
                <c:pt idx="37">
                  <c:v>3577.5</c:v>
                </c:pt>
                <c:pt idx="38">
                  <c:v>3478.5</c:v>
                </c:pt>
                <c:pt idx="39">
                  <c:v>2817</c:v>
                </c:pt>
                <c:pt idx="40">
                  <c:v>2066.625</c:v>
                </c:pt>
                <c:pt idx="41">
                  <c:v>2736</c:v>
                </c:pt>
                <c:pt idx="42">
                  <c:v>2108.25</c:v>
                </c:pt>
                <c:pt idx="43">
                  <c:v>2655</c:v>
                </c:pt>
                <c:pt idx="44">
                  <c:v>2931.75</c:v>
                </c:pt>
                <c:pt idx="45">
                  <c:v>1174.5</c:v>
                </c:pt>
                <c:pt idx="46">
                  <c:v>1397.25</c:v>
                </c:pt>
                <c:pt idx="47">
                  <c:v>2754</c:v>
                </c:pt>
                <c:pt idx="48">
                  <c:v>3534.75</c:v>
                </c:pt>
                <c:pt idx="49">
                  <c:v>3496.5</c:v>
                </c:pt>
                <c:pt idx="50">
                  <c:v>1016.9999999999999</c:v>
                </c:pt>
                <c:pt idx="51">
                  <c:v>1986.75</c:v>
                </c:pt>
                <c:pt idx="52">
                  <c:v>2598.75</c:v>
                </c:pt>
                <c:pt idx="53">
                  <c:v>2191.5</c:v>
                </c:pt>
                <c:pt idx="54">
                  <c:v>2889</c:v>
                </c:pt>
                <c:pt idx="55">
                  <c:v>3514.5</c:v>
                </c:pt>
                <c:pt idx="56">
                  <c:v>2119.5</c:v>
                </c:pt>
                <c:pt idx="57">
                  <c:v>2182.5</c:v>
                </c:pt>
                <c:pt idx="58">
                  <c:v>1233</c:v>
                </c:pt>
                <c:pt idx="59">
                  <c:v>2872.125</c:v>
                </c:pt>
                <c:pt idx="60">
                  <c:v>1705.5</c:v>
                </c:pt>
                <c:pt idx="61">
                  <c:v>1892.25</c:v>
                </c:pt>
                <c:pt idx="62">
                  <c:v>2963.25</c:v>
                </c:pt>
                <c:pt idx="63">
                  <c:v>2322</c:v>
                </c:pt>
                <c:pt idx="64">
                  <c:v>1847.2500000000002</c:v>
                </c:pt>
                <c:pt idx="65">
                  <c:v>2925</c:v>
                </c:pt>
                <c:pt idx="66">
                  <c:v>3267</c:v>
                </c:pt>
                <c:pt idx="67">
                  <c:v>2679.75</c:v>
                </c:pt>
                <c:pt idx="68">
                  <c:v>1062</c:v>
                </c:pt>
                <c:pt idx="69">
                  <c:v>2490.75</c:v>
                </c:pt>
                <c:pt idx="70">
                  <c:v>2707.875</c:v>
                </c:pt>
                <c:pt idx="71">
                  <c:v>2323.125</c:v>
                </c:pt>
                <c:pt idx="72">
                  <c:v>2486.25</c:v>
                </c:pt>
                <c:pt idx="73">
                  <c:v>1163.25</c:v>
                </c:pt>
                <c:pt idx="74">
                  <c:v>3255.75</c:v>
                </c:pt>
                <c:pt idx="75">
                  <c:v>1444.5</c:v>
                </c:pt>
                <c:pt idx="76">
                  <c:v>2053.125</c:v>
                </c:pt>
                <c:pt idx="77">
                  <c:v>1635.75</c:v>
                </c:pt>
                <c:pt idx="78">
                  <c:v>1917</c:v>
                </c:pt>
                <c:pt idx="79">
                  <c:v>3024</c:v>
                </c:pt>
                <c:pt idx="80">
                  <c:v>2853</c:v>
                </c:pt>
                <c:pt idx="81">
                  <c:v>2315.25</c:v>
                </c:pt>
                <c:pt idx="82">
                  <c:v>2247.75</c:v>
                </c:pt>
                <c:pt idx="83">
                  <c:v>2290.5</c:v>
                </c:pt>
                <c:pt idx="84">
                  <c:v>2083.5</c:v>
                </c:pt>
                <c:pt idx="85">
                  <c:v>2229.75</c:v>
                </c:pt>
                <c:pt idx="86">
                  <c:v>2943</c:v>
                </c:pt>
                <c:pt idx="87">
                  <c:v>2983.5</c:v>
                </c:pt>
                <c:pt idx="88">
                  <c:v>1723.5</c:v>
                </c:pt>
                <c:pt idx="89">
                  <c:v>1433.25</c:v>
                </c:pt>
                <c:pt idx="90">
                  <c:v>2021.625</c:v>
                </c:pt>
                <c:pt idx="91">
                  <c:v>3159</c:v>
                </c:pt>
                <c:pt idx="92">
                  <c:v>2871</c:v>
                </c:pt>
                <c:pt idx="93">
                  <c:v>2931.75</c:v>
                </c:pt>
                <c:pt idx="94">
                  <c:v>2117.25</c:v>
                </c:pt>
                <c:pt idx="95">
                  <c:v>1719</c:v>
                </c:pt>
                <c:pt idx="96">
                  <c:v>3001.5</c:v>
                </c:pt>
                <c:pt idx="97">
                  <c:v>1815.75</c:v>
                </c:pt>
                <c:pt idx="98">
                  <c:v>2722.5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4A-45DF-9689-468BE60A2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835360"/>
        <c:axId val="1398836800"/>
      </c:scatterChart>
      <c:valAx>
        <c:axId val="139883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98836800"/>
        <c:crosses val="autoZero"/>
        <c:crossBetween val="midCat"/>
      </c:valAx>
      <c:valAx>
        <c:axId val="139883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9883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'Base de datos 2024 2'!$C$2:$C$143</c:f>
              <c:numCache>
                <c:formatCode>General</c:formatCode>
                <c:ptCount val="142"/>
                <c:pt idx="0">
                  <c:v>97</c:v>
                </c:pt>
                <c:pt idx="1">
                  <c:v>133</c:v>
                </c:pt>
                <c:pt idx="2">
                  <c:v>79</c:v>
                </c:pt>
                <c:pt idx="3">
                  <c:v>11</c:v>
                </c:pt>
                <c:pt idx="4">
                  <c:v>57</c:v>
                </c:pt>
                <c:pt idx="5">
                  <c:v>153</c:v>
                </c:pt>
                <c:pt idx="6">
                  <c:v>205</c:v>
                </c:pt>
                <c:pt idx="7">
                  <c:v>110</c:v>
                </c:pt>
                <c:pt idx="8">
                  <c:v>85</c:v>
                </c:pt>
                <c:pt idx="9">
                  <c:v>57</c:v>
                </c:pt>
                <c:pt idx="10">
                  <c:v>51</c:v>
                </c:pt>
                <c:pt idx="11">
                  <c:v>158</c:v>
                </c:pt>
                <c:pt idx="12">
                  <c:v>116</c:v>
                </c:pt>
                <c:pt idx="13">
                  <c:v>57</c:v>
                </c:pt>
                <c:pt idx="14">
                  <c:v>68</c:v>
                </c:pt>
                <c:pt idx="15">
                  <c:v>131</c:v>
                </c:pt>
                <c:pt idx="16">
                  <c:v>44</c:v>
                </c:pt>
                <c:pt idx="17">
                  <c:v>99</c:v>
                </c:pt>
                <c:pt idx="18">
                  <c:v>99</c:v>
                </c:pt>
                <c:pt idx="19">
                  <c:v>191</c:v>
                </c:pt>
                <c:pt idx="20">
                  <c:v>121</c:v>
                </c:pt>
                <c:pt idx="21">
                  <c:v>99</c:v>
                </c:pt>
                <c:pt idx="22">
                  <c:v>170</c:v>
                </c:pt>
                <c:pt idx="23">
                  <c:v>106</c:v>
                </c:pt>
                <c:pt idx="24">
                  <c:v>161</c:v>
                </c:pt>
                <c:pt idx="25">
                  <c:v>158</c:v>
                </c:pt>
                <c:pt idx="26">
                  <c:v>175</c:v>
                </c:pt>
                <c:pt idx="27">
                  <c:v>159</c:v>
                </c:pt>
                <c:pt idx="28">
                  <c:v>209</c:v>
                </c:pt>
                <c:pt idx="29">
                  <c:v>19</c:v>
                </c:pt>
                <c:pt idx="30">
                  <c:v>90</c:v>
                </c:pt>
                <c:pt idx="31">
                  <c:v>145</c:v>
                </c:pt>
                <c:pt idx="32">
                  <c:v>79</c:v>
                </c:pt>
                <c:pt idx="33">
                  <c:v>108</c:v>
                </c:pt>
                <c:pt idx="34">
                  <c:v>45</c:v>
                </c:pt>
                <c:pt idx="35">
                  <c:v>27</c:v>
                </c:pt>
                <c:pt idx="36">
                  <c:v>87</c:v>
                </c:pt>
                <c:pt idx="37">
                  <c:v>136</c:v>
                </c:pt>
                <c:pt idx="38">
                  <c:v>30</c:v>
                </c:pt>
                <c:pt idx="39">
                  <c:v>115</c:v>
                </c:pt>
                <c:pt idx="40">
                  <c:v>185</c:v>
                </c:pt>
                <c:pt idx="41">
                  <c:v>126</c:v>
                </c:pt>
                <c:pt idx="42">
                  <c:v>169</c:v>
                </c:pt>
                <c:pt idx="43">
                  <c:v>169</c:v>
                </c:pt>
                <c:pt idx="44">
                  <c:v>30</c:v>
                </c:pt>
                <c:pt idx="45">
                  <c:v>114</c:v>
                </c:pt>
                <c:pt idx="46">
                  <c:v>203</c:v>
                </c:pt>
                <c:pt idx="47">
                  <c:v>47</c:v>
                </c:pt>
                <c:pt idx="48">
                  <c:v>115</c:v>
                </c:pt>
                <c:pt idx="49">
                  <c:v>88</c:v>
                </c:pt>
                <c:pt idx="50">
                  <c:v>194</c:v>
                </c:pt>
                <c:pt idx="51">
                  <c:v>199</c:v>
                </c:pt>
                <c:pt idx="52">
                  <c:v>148</c:v>
                </c:pt>
                <c:pt idx="53">
                  <c:v>167</c:v>
                </c:pt>
                <c:pt idx="54">
                  <c:v>78</c:v>
                </c:pt>
                <c:pt idx="55">
                  <c:v>42</c:v>
                </c:pt>
                <c:pt idx="56">
                  <c:v>157</c:v>
                </c:pt>
                <c:pt idx="57">
                  <c:v>183</c:v>
                </c:pt>
                <c:pt idx="58">
                  <c:v>169</c:v>
                </c:pt>
                <c:pt idx="59">
                  <c:v>73</c:v>
                </c:pt>
                <c:pt idx="60">
                  <c:v>95</c:v>
                </c:pt>
                <c:pt idx="61">
                  <c:v>178</c:v>
                </c:pt>
                <c:pt idx="62">
                  <c:v>37</c:v>
                </c:pt>
                <c:pt idx="63">
                  <c:v>145</c:v>
                </c:pt>
                <c:pt idx="64">
                  <c:v>81</c:v>
                </c:pt>
                <c:pt idx="65">
                  <c:v>31</c:v>
                </c:pt>
                <c:pt idx="66">
                  <c:v>7</c:v>
                </c:pt>
                <c:pt idx="67">
                  <c:v>29</c:v>
                </c:pt>
                <c:pt idx="68">
                  <c:v>172</c:v>
                </c:pt>
                <c:pt idx="69">
                  <c:v>154</c:v>
                </c:pt>
                <c:pt idx="70">
                  <c:v>53</c:v>
                </c:pt>
                <c:pt idx="71">
                  <c:v>48</c:v>
                </c:pt>
                <c:pt idx="72">
                  <c:v>149</c:v>
                </c:pt>
                <c:pt idx="73">
                  <c:v>133</c:v>
                </c:pt>
                <c:pt idx="74">
                  <c:v>97</c:v>
                </c:pt>
                <c:pt idx="75">
                  <c:v>104</c:v>
                </c:pt>
                <c:pt idx="76">
                  <c:v>121</c:v>
                </c:pt>
                <c:pt idx="77">
                  <c:v>31</c:v>
                </c:pt>
                <c:pt idx="78">
                  <c:v>11</c:v>
                </c:pt>
                <c:pt idx="79">
                  <c:v>123</c:v>
                </c:pt>
                <c:pt idx="80">
                  <c:v>145</c:v>
                </c:pt>
                <c:pt idx="81">
                  <c:v>99</c:v>
                </c:pt>
                <c:pt idx="82">
                  <c:v>60</c:v>
                </c:pt>
                <c:pt idx="83">
                  <c:v>113</c:v>
                </c:pt>
                <c:pt idx="84">
                  <c:v>57</c:v>
                </c:pt>
                <c:pt idx="85">
                  <c:v>115</c:v>
                </c:pt>
                <c:pt idx="86">
                  <c:v>65</c:v>
                </c:pt>
                <c:pt idx="87">
                  <c:v>102</c:v>
                </c:pt>
                <c:pt idx="88">
                  <c:v>41</c:v>
                </c:pt>
                <c:pt idx="89">
                  <c:v>139</c:v>
                </c:pt>
                <c:pt idx="90">
                  <c:v>102</c:v>
                </c:pt>
                <c:pt idx="91">
                  <c:v>53</c:v>
                </c:pt>
                <c:pt idx="92">
                  <c:v>18</c:v>
                </c:pt>
                <c:pt idx="93">
                  <c:v>107</c:v>
                </c:pt>
                <c:pt idx="94">
                  <c:v>2</c:v>
                </c:pt>
                <c:pt idx="95">
                  <c:v>18</c:v>
                </c:pt>
                <c:pt idx="96">
                  <c:v>87</c:v>
                </c:pt>
                <c:pt idx="97">
                  <c:v>164</c:v>
                </c:pt>
                <c:pt idx="98">
                  <c:v>85</c:v>
                </c:pt>
                <c:pt idx="99">
                  <c:v>134</c:v>
                </c:pt>
                <c:pt idx="100">
                  <c:v>85</c:v>
                </c:pt>
                <c:pt idx="101">
                  <c:v>174</c:v>
                </c:pt>
                <c:pt idx="102">
                  <c:v>132</c:v>
                </c:pt>
                <c:pt idx="103">
                  <c:v>1</c:v>
                </c:pt>
                <c:pt idx="104">
                  <c:v>72</c:v>
                </c:pt>
                <c:pt idx="105">
                  <c:v>3</c:v>
                </c:pt>
                <c:pt idx="106">
                  <c:v>32</c:v>
                </c:pt>
                <c:pt idx="107">
                  <c:v>35</c:v>
                </c:pt>
                <c:pt idx="108">
                  <c:v>68</c:v>
                </c:pt>
                <c:pt idx="109">
                  <c:v>39</c:v>
                </c:pt>
                <c:pt idx="110">
                  <c:v>180</c:v>
                </c:pt>
                <c:pt idx="111">
                  <c:v>116</c:v>
                </c:pt>
                <c:pt idx="112">
                  <c:v>115</c:v>
                </c:pt>
                <c:pt idx="113">
                  <c:v>125</c:v>
                </c:pt>
                <c:pt idx="114">
                  <c:v>35</c:v>
                </c:pt>
                <c:pt idx="115">
                  <c:v>64</c:v>
                </c:pt>
                <c:pt idx="116">
                  <c:v>116</c:v>
                </c:pt>
                <c:pt idx="117">
                  <c:v>50</c:v>
                </c:pt>
                <c:pt idx="118">
                  <c:v>169</c:v>
                </c:pt>
                <c:pt idx="119">
                  <c:v>107</c:v>
                </c:pt>
                <c:pt idx="120">
                  <c:v>128</c:v>
                </c:pt>
                <c:pt idx="121">
                  <c:v>51</c:v>
                </c:pt>
                <c:pt idx="122">
                  <c:v>61</c:v>
                </c:pt>
                <c:pt idx="123">
                  <c:v>65</c:v>
                </c:pt>
                <c:pt idx="124">
                  <c:v>172</c:v>
                </c:pt>
                <c:pt idx="125">
                  <c:v>177</c:v>
                </c:pt>
                <c:pt idx="126">
                  <c:v>68</c:v>
                </c:pt>
                <c:pt idx="127">
                  <c:v>57</c:v>
                </c:pt>
                <c:pt idx="128">
                  <c:v>108</c:v>
                </c:pt>
                <c:pt idx="129">
                  <c:v>190</c:v>
                </c:pt>
                <c:pt idx="130">
                  <c:v>132</c:v>
                </c:pt>
                <c:pt idx="131">
                  <c:v>88</c:v>
                </c:pt>
                <c:pt idx="132">
                  <c:v>159</c:v>
                </c:pt>
                <c:pt idx="133">
                  <c:v>188</c:v>
                </c:pt>
                <c:pt idx="134">
                  <c:v>105</c:v>
                </c:pt>
                <c:pt idx="135">
                  <c:v>98</c:v>
                </c:pt>
                <c:pt idx="136">
                  <c:v>190</c:v>
                </c:pt>
                <c:pt idx="137">
                  <c:v>210</c:v>
                </c:pt>
                <c:pt idx="138">
                  <c:v>96</c:v>
                </c:pt>
                <c:pt idx="139">
                  <c:v>56</c:v>
                </c:pt>
                <c:pt idx="140">
                  <c:v>147</c:v>
                </c:pt>
                <c:pt idx="141">
                  <c:v>137</c:v>
                </c:pt>
              </c:numCache>
            </c:numRef>
          </c:xVal>
          <c:yVal>
            <c:numRef>
              <c:f>'Base de datos 2024 2'!$H$2:$H$143</c:f>
              <c:numCache>
                <c:formatCode>#,##0.00\ "€"</c:formatCode>
                <c:ptCount val="142"/>
                <c:pt idx="0">
                  <c:v>2400.75</c:v>
                </c:pt>
                <c:pt idx="1">
                  <c:v>3435.75</c:v>
                </c:pt>
                <c:pt idx="2">
                  <c:v>2389.5</c:v>
                </c:pt>
                <c:pt idx="3">
                  <c:v>3363.75</c:v>
                </c:pt>
                <c:pt idx="4">
                  <c:v>2733.75</c:v>
                </c:pt>
                <c:pt idx="5">
                  <c:v>1201.5</c:v>
                </c:pt>
                <c:pt idx="6">
                  <c:v>2911.5</c:v>
                </c:pt>
                <c:pt idx="7">
                  <c:v>2070</c:v>
                </c:pt>
                <c:pt idx="8">
                  <c:v>3510</c:v>
                </c:pt>
                <c:pt idx="9">
                  <c:v>2076.75</c:v>
                </c:pt>
                <c:pt idx="10">
                  <c:v>1910.25</c:v>
                </c:pt>
                <c:pt idx="11">
                  <c:v>2598.75</c:v>
                </c:pt>
                <c:pt idx="12">
                  <c:v>2742.75</c:v>
                </c:pt>
                <c:pt idx="13">
                  <c:v>2166.75</c:v>
                </c:pt>
                <c:pt idx="14">
                  <c:v>1469.25</c:v>
                </c:pt>
                <c:pt idx="15">
                  <c:v>2479.5</c:v>
                </c:pt>
                <c:pt idx="16">
                  <c:v>2475</c:v>
                </c:pt>
                <c:pt idx="17">
                  <c:v>1298.25</c:v>
                </c:pt>
                <c:pt idx="18">
                  <c:v>1730.25</c:v>
                </c:pt>
                <c:pt idx="19">
                  <c:v>1523.25</c:v>
                </c:pt>
                <c:pt idx="20">
                  <c:v>2238.75</c:v>
                </c:pt>
                <c:pt idx="21">
                  <c:v>1347.75</c:v>
                </c:pt>
                <c:pt idx="22">
                  <c:v>1467</c:v>
                </c:pt>
                <c:pt idx="23">
                  <c:v>1932.75</c:v>
                </c:pt>
                <c:pt idx="24">
                  <c:v>3384</c:v>
                </c:pt>
                <c:pt idx="25">
                  <c:v>2218.5</c:v>
                </c:pt>
                <c:pt idx="26">
                  <c:v>3271.5</c:v>
                </c:pt>
                <c:pt idx="27">
                  <c:v>2000.2500000000002</c:v>
                </c:pt>
                <c:pt idx="28">
                  <c:v>3541.5</c:v>
                </c:pt>
                <c:pt idx="29">
                  <c:v>3474</c:v>
                </c:pt>
                <c:pt idx="30">
                  <c:v>3060</c:v>
                </c:pt>
                <c:pt idx="31">
                  <c:v>2567.25</c:v>
                </c:pt>
                <c:pt idx="32">
                  <c:v>1606.5</c:v>
                </c:pt>
                <c:pt idx="33">
                  <c:v>2290.5</c:v>
                </c:pt>
                <c:pt idx="34">
                  <c:v>2187</c:v>
                </c:pt>
                <c:pt idx="35">
                  <c:v>1451.25</c:v>
                </c:pt>
                <c:pt idx="36">
                  <c:v>2934</c:v>
                </c:pt>
                <c:pt idx="37">
                  <c:v>1116</c:v>
                </c:pt>
                <c:pt idx="38">
                  <c:v>1154.25</c:v>
                </c:pt>
                <c:pt idx="39">
                  <c:v>3433.5</c:v>
                </c:pt>
                <c:pt idx="40">
                  <c:v>1808.9999999999998</c:v>
                </c:pt>
                <c:pt idx="41">
                  <c:v>3363.75</c:v>
                </c:pt>
                <c:pt idx="42">
                  <c:v>2223</c:v>
                </c:pt>
                <c:pt idx="43">
                  <c:v>3429</c:v>
                </c:pt>
                <c:pt idx="44">
                  <c:v>1449</c:v>
                </c:pt>
                <c:pt idx="45">
                  <c:v>3577.5</c:v>
                </c:pt>
                <c:pt idx="46">
                  <c:v>3478.5</c:v>
                </c:pt>
                <c:pt idx="47">
                  <c:v>2817</c:v>
                </c:pt>
                <c:pt idx="48">
                  <c:v>951.75000000000011</c:v>
                </c:pt>
                <c:pt idx="49">
                  <c:v>1748.25</c:v>
                </c:pt>
                <c:pt idx="50">
                  <c:v>2736</c:v>
                </c:pt>
                <c:pt idx="51">
                  <c:v>2108.25</c:v>
                </c:pt>
                <c:pt idx="52">
                  <c:v>2655</c:v>
                </c:pt>
                <c:pt idx="53">
                  <c:v>2931.75</c:v>
                </c:pt>
                <c:pt idx="54">
                  <c:v>1174.5</c:v>
                </c:pt>
                <c:pt idx="55">
                  <c:v>1397.25</c:v>
                </c:pt>
                <c:pt idx="56">
                  <c:v>2754</c:v>
                </c:pt>
                <c:pt idx="57">
                  <c:v>3534.75</c:v>
                </c:pt>
                <c:pt idx="58">
                  <c:v>2819.25</c:v>
                </c:pt>
                <c:pt idx="59">
                  <c:v>3496.5</c:v>
                </c:pt>
                <c:pt idx="60">
                  <c:v>1016.9999999999999</c:v>
                </c:pt>
                <c:pt idx="61">
                  <c:v>1986.75</c:v>
                </c:pt>
                <c:pt idx="62">
                  <c:v>2598.75</c:v>
                </c:pt>
                <c:pt idx="63">
                  <c:v>2144.25</c:v>
                </c:pt>
                <c:pt idx="64">
                  <c:v>2191.5</c:v>
                </c:pt>
                <c:pt idx="65">
                  <c:v>2295</c:v>
                </c:pt>
                <c:pt idx="66">
                  <c:v>3514.5</c:v>
                </c:pt>
                <c:pt idx="67">
                  <c:v>2119.5</c:v>
                </c:pt>
                <c:pt idx="68">
                  <c:v>2828.25</c:v>
                </c:pt>
                <c:pt idx="69">
                  <c:v>1233</c:v>
                </c:pt>
                <c:pt idx="70">
                  <c:v>3089.25</c:v>
                </c:pt>
                <c:pt idx="71">
                  <c:v>1705.5</c:v>
                </c:pt>
                <c:pt idx="72">
                  <c:v>1892.25</c:v>
                </c:pt>
                <c:pt idx="73">
                  <c:v>2589.75</c:v>
                </c:pt>
                <c:pt idx="74">
                  <c:v>1941.7500000000002</c:v>
                </c:pt>
                <c:pt idx="75">
                  <c:v>2963.25</c:v>
                </c:pt>
                <c:pt idx="76">
                  <c:v>3546</c:v>
                </c:pt>
                <c:pt idx="77">
                  <c:v>3483</c:v>
                </c:pt>
                <c:pt idx="78">
                  <c:v>1464.75</c:v>
                </c:pt>
                <c:pt idx="79">
                  <c:v>2322</c:v>
                </c:pt>
                <c:pt idx="80">
                  <c:v>2767.5</c:v>
                </c:pt>
                <c:pt idx="81">
                  <c:v>2661.75</c:v>
                </c:pt>
                <c:pt idx="82">
                  <c:v>1847.2500000000002</c:v>
                </c:pt>
                <c:pt idx="83">
                  <c:v>2925</c:v>
                </c:pt>
                <c:pt idx="84">
                  <c:v>3089.25</c:v>
                </c:pt>
                <c:pt idx="85">
                  <c:v>1280.25</c:v>
                </c:pt>
                <c:pt idx="86">
                  <c:v>3550.5</c:v>
                </c:pt>
                <c:pt idx="87">
                  <c:v>2605.5</c:v>
                </c:pt>
                <c:pt idx="88">
                  <c:v>1062</c:v>
                </c:pt>
                <c:pt idx="89">
                  <c:v>2490.75</c:v>
                </c:pt>
                <c:pt idx="90">
                  <c:v>2754</c:v>
                </c:pt>
                <c:pt idx="91">
                  <c:v>2655</c:v>
                </c:pt>
                <c:pt idx="92">
                  <c:v>3262.5</c:v>
                </c:pt>
                <c:pt idx="93">
                  <c:v>2853</c:v>
                </c:pt>
                <c:pt idx="94">
                  <c:v>2486.25</c:v>
                </c:pt>
                <c:pt idx="95">
                  <c:v>2153.25</c:v>
                </c:pt>
                <c:pt idx="96">
                  <c:v>3226.5</c:v>
                </c:pt>
                <c:pt idx="97">
                  <c:v>1163.25</c:v>
                </c:pt>
                <c:pt idx="98">
                  <c:v>3539.25</c:v>
                </c:pt>
                <c:pt idx="99">
                  <c:v>3255.75</c:v>
                </c:pt>
                <c:pt idx="100">
                  <c:v>1847.2500000000002</c:v>
                </c:pt>
                <c:pt idx="101">
                  <c:v>1444.5</c:v>
                </c:pt>
                <c:pt idx="102">
                  <c:v>1586.25</c:v>
                </c:pt>
                <c:pt idx="103">
                  <c:v>1635.75</c:v>
                </c:pt>
                <c:pt idx="104">
                  <c:v>1917</c:v>
                </c:pt>
                <c:pt idx="105">
                  <c:v>3024</c:v>
                </c:pt>
                <c:pt idx="106">
                  <c:v>2853</c:v>
                </c:pt>
                <c:pt idx="107">
                  <c:v>3287.25</c:v>
                </c:pt>
                <c:pt idx="108">
                  <c:v>1435.5</c:v>
                </c:pt>
                <c:pt idx="109">
                  <c:v>2247.75</c:v>
                </c:pt>
                <c:pt idx="110">
                  <c:v>2290.5</c:v>
                </c:pt>
                <c:pt idx="111">
                  <c:v>2301.75</c:v>
                </c:pt>
                <c:pt idx="112">
                  <c:v>992.25</c:v>
                </c:pt>
                <c:pt idx="113">
                  <c:v>2083.5</c:v>
                </c:pt>
                <c:pt idx="114">
                  <c:v>1343.25</c:v>
                </c:pt>
                <c:pt idx="115">
                  <c:v>2229.75</c:v>
                </c:pt>
                <c:pt idx="116">
                  <c:v>1719</c:v>
                </c:pt>
                <c:pt idx="117">
                  <c:v>2943</c:v>
                </c:pt>
                <c:pt idx="118">
                  <c:v>3514.5</c:v>
                </c:pt>
                <c:pt idx="119">
                  <c:v>1793.25</c:v>
                </c:pt>
                <c:pt idx="120">
                  <c:v>2983.5</c:v>
                </c:pt>
                <c:pt idx="121">
                  <c:v>2659.5</c:v>
                </c:pt>
                <c:pt idx="122">
                  <c:v>1723.5</c:v>
                </c:pt>
                <c:pt idx="123">
                  <c:v>2983.5</c:v>
                </c:pt>
                <c:pt idx="124">
                  <c:v>1536.75</c:v>
                </c:pt>
                <c:pt idx="125">
                  <c:v>1433.25</c:v>
                </c:pt>
                <c:pt idx="126">
                  <c:v>2776.5</c:v>
                </c:pt>
                <c:pt idx="127">
                  <c:v>1023.75</c:v>
                </c:pt>
                <c:pt idx="128">
                  <c:v>2994.75</c:v>
                </c:pt>
                <c:pt idx="129">
                  <c:v>2713.5</c:v>
                </c:pt>
                <c:pt idx="130">
                  <c:v>2520</c:v>
                </c:pt>
                <c:pt idx="131">
                  <c:v>2385</c:v>
                </c:pt>
                <c:pt idx="132">
                  <c:v>2232</c:v>
                </c:pt>
                <c:pt idx="133">
                  <c:v>3159</c:v>
                </c:pt>
                <c:pt idx="134">
                  <c:v>2871</c:v>
                </c:pt>
                <c:pt idx="135">
                  <c:v>2931.75</c:v>
                </c:pt>
                <c:pt idx="136">
                  <c:v>1329.75</c:v>
                </c:pt>
                <c:pt idx="137">
                  <c:v>2117.25</c:v>
                </c:pt>
                <c:pt idx="138">
                  <c:v>1719</c:v>
                </c:pt>
                <c:pt idx="139">
                  <c:v>3001.5</c:v>
                </c:pt>
                <c:pt idx="140">
                  <c:v>1815.75</c:v>
                </c:pt>
                <c:pt idx="141">
                  <c:v>2722.5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D-4E48-B1A8-62F1B3787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25999"/>
        <c:axId val="54726479"/>
      </c:scatterChart>
      <c:valAx>
        <c:axId val="5472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Kilómetros recorridos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4726479"/>
        <c:crosses val="autoZero"/>
        <c:crossBetween val="midCat"/>
      </c:valAx>
      <c:valAx>
        <c:axId val="5472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</a:t>
                </a:r>
                <a:r>
                  <a:rPr lang="es-AR" baseline="0"/>
                  <a:t> total de la operación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472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444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'Base de datos 2024 2'!$F$2:$F$143</c:f>
              <c:numCache>
                <c:formatCode>General</c:formatCode>
                <c:ptCount val="142"/>
                <c:pt idx="0">
                  <c:v>10.67</c:v>
                </c:pt>
                <c:pt idx="1">
                  <c:v>15.27</c:v>
                </c:pt>
                <c:pt idx="2">
                  <c:v>10.62</c:v>
                </c:pt>
                <c:pt idx="3">
                  <c:v>14.95</c:v>
                </c:pt>
                <c:pt idx="4">
                  <c:v>12.15</c:v>
                </c:pt>
                <c:pt idx="5">
                  <c:v>5.34</c:v>
                </c:pt>
                <c:pt idx="6">
                  <c:v>12.94</c:v>
                </c:pt>
                <c:pt idx="7">
                  <c:v>9.1999999999999993</c:v>
                </c:pt>
                <c:pt idx="8">
                  <c:v>15.6</c:v>
                </c:pt>
                <c:pt idx="9">
                  <c:v>9.23</c:v>
                </c:pt>
                <c:pt idx="10">
                  <c:v>8.49</c:v>
                </c:pt>
                <c:pt idx="11">
                  <c:v>11.55</c:v>
                </c:pt>
                <c:pt idx="12">
                  <c:v>12.19</c:v>
                </c:pt>
                <c:pt idx="13">
                  <c:v>9.6300000000000008</c:v>
                </c:pt>
                <c:pt idx="14">
                  <c:v>6.53</c:v>
                </c:pt>
                <c:pt idx="15">
                  <c:v>11.02</c:v>
                </c:pt>
                <c:pt idx="16">
                  <c:v>11</c:v>
                </c:pt>
                <c:pt idx="17">
                  <c:v>5.77</c:v>
                </c:pt>
                <c:pt idx="18">
                  <c:v>7.69</c:v>
                </c:pt>
                <c:pt idx="19">
                  <c:v>6.77</c:v>
                </c:pt>
                <c:pt idx="20">
                  <c:v>9.9499999999999993</c:v>
                </c:pt>
                <c:pt idx="21">
                  <c:v>5.99</c:v>
                </c:pt>
                <c:pt idx="22">
                  <c:v>6.52</c:v>
                </c:pt>
                <c:pt idx="23">
                  <c:v>8.59</c:v>
                </c:pt>
                <c:pt idx="24">
                  <c:v>15.04</c:v>
                </c:pt>
                <c:pt idx="25">
                  <c:v>9.86</c:v>
                </c:pt>
                <c:pt idx="26">
                  <c:v>14.54</c:v>
                </c:pt>
                <c:pt idx="27">
                  <c:v>8.89</c:v>
                </c:pt>
                <c:pt idx="28">
                  <c:v>15.74</c:v>
                </c:pt>
                <c:pt idx="29">
                  <c:v>15.44</c:v>
                </c:pt>
                <c:pt idx="30">
                  <c:v>13.6</c:v>
                </c:pt>
                <c:pt idx="31">
                  <c:v>11.41</c:v>
                </c:pt>
                <c:pt idx="32">
                  <c:v>7.14</c:v>
                </c:pt>
                <c:pt idx="33">
                  <c:v>10.18</c:v>
                </c:pt>
                <c:pt idx="34">
                  <c:v>9.7200000000000006</c:v>
                </c:pt>
                <c:pt idx="35">
                  <c:v>6.45</c:v>
                </c:pt>
                <c:pt idx="36">
                  <c:v>13.04</c:v>
                </c:pt>
                <c:pt idx="37">
                  <c:v>4.96</c:v>
                </c:pt>
                <c:pt idx="38">
                  <c:v>5.13</c:v>
                </c:pt>
                <c:pt idx="39">
                  <c:v>15.26</c:v>
                </c:pt>
                <c:pt idx="40">
                  <c:v>8.0399999999999991</c:v>
                </c:pt>
                <c:pt idx="41">
                  <c:v>14.95</c:v>
                </c:pt>
                <c:pt idx="42">
                  <c:v>9.8800000000000008</c:v>
                </c:pt>
                <c:pt idx="43">
                  <c:v>15.24</c:v>
                </c:pt>
                <c:pt idx="44">
                  <c:v>6.44</c:v>
                </c:pt>
                <c:pt idx="45">
                  <c:v>15.9</c:v>
                </c:pt>
                <c:pt idx="46">
                  <c:v>15.46</c:v>
                </c:pt>
                <c:pt idx="47">
                  <c:v>12.52</c:v>
                </c:pt>
                <c:pt idx="48">
                  <c:v>4.2300000000000004</c:v>
                </c:pt>
                <c:pt idx="49">
                  <c:v>7.77</c:v>
                </c:pt>
                <c:pt idx="50">
                  <c:v>12.16</c:v>
                </c:pt>
                <c:pt idx="51">
                  <c:v>9.3699999999999992</c:v>
                </c:pt>
                <c:pt idx="52">
                  <c:v>11.8</c:v>
                </c:pt>
                <c:pt idx="53">
                  <c:v>13.03</c:v>
                </c:pt>
                <c:pt idx="54">
                  <c:v>5.22</c:v>
                </c:pt>
                <c:pt idx="55">
                  <c:v>6.21</c:v>
                </c:pt>
                <c:pt idx="56">
                  <c:v>12.24</c:v>
                </c:pt>
                <c:pt idx="57">
                  <c:v>15.71</c:v>
                </c:pt>
                <c:pt idx="58">
                  <c:v>12.53</c:v>
                </c:pt>
                <c:pt idx="59">
                  <c:v>15.54</c:v>
                </c:pt>
                <c:pt idx="60">
                  <c:v>4.5199999999999996</c:v>
                </c:pt>
                <c:pt idx="61">
                  <c:v>8.83</c:v>
                </c:pt>
                <c:pt idx="62">
                  <c:v>11.55</c:v>
                </c:pt>
                <c:pt idx="63">
                  <c:v>9.5299999999999994</c:v>
                </c:pt>
                <c:pt idx="64">
                  <c:v>9.74</c:v>
                </c:pt>
                <c:pt idx="65">
                  <c:v>10.199999999999999</c:v>
                </c:pt>
                <c:pt idx="66">
                  <c:v>15.62</c:v>
                </c:pt>
                <c:pt idx="67">
                  <c:v>9.42</c:v>
                </c:pt>
                <c:pt idx="68">
                  <c:v>12.57</c:v>
                </c:pt>
                <c:pt idx="69">
                  <c:v>5.48</c:v>
                </c:pt>
                <c:pt idx="70">
                  <c:v>13.73</c:v>
                </c:pt>
                <c:pt idx="71">
                  <c:v>7.58</c:v>
                </c:pt>
                <c:pt idx="72">
                  <c:v>8.41</c:v>
                </c:pt>
                <c:pt idx="73">
                  <c:v>11.51</c:v>
                </c:pt>
                <c:pt idx="74">
                  <c:v>8.6300000000000008</c:v>
                </c:pt>
                <c:pt idx="75">
                  <c:v>13.17</c:v>
                </c:pt>
                <c:pt idx="76">
                  <c:v>15.76</c:v>
                </c:pt>
                <c:pt idx="77">
                  <c:v>15.48</c:v>
                </c:pt>
                <c:pt idx="78">
                  <c:v>6.51</c:v>
                </c:pt>
                <c:pt idx="79">
                  <c:v>10.32</c:v>
                </c:pt>
                <c:pt idx="80">
                  <c:v>12.3</c:v>
                </c:pt>
                <c:pt idx="81">
                  <c:v>11.83</c:v>
                </c:pt>
                <c:pt idx="82">
                  <c:v>8.2100000000000009</c:v>
                </c:pt>
                <c:pt idx="83">
                  <c:v>13</c:v>
                </c:pt>
                <c:pt idx="84">
                  <c:v>13.73</c:v>
                </c:pt>
                <c:pt idx="85">
                  <c:v>5.69</c:v>
                </c:pt>
                <c:pt idx="86">
                  <c:v>15.78</c:v>
                </c:pt>
                <c:pt idx="87">
                  <c:v>11.58</c:v>
                </c:pt>
                <c:pt idx="88">
                  <c:v>4.72</c:v>
                </c:pt>
                <c:pt idx="89">
                  <c:v>11.07</c:v>
                </c:pt>
                <c:pt idx="90">
                  <c:v>12.24</c:v>
                </c:pt>
                <c:pt idx="91">
                  <c:v>11.8</c:v>
                </c:pt>
                <c:pt idx="92">
                  <c:v>14.5</c:v>
                </c:pt>
                <c:pt idx="93">
                  <c:v>12.68</c:v>
                </c:pt>
                <c:pt idx="94">
                  <c:v>11.05</c:v>
                </c:pt>
                <c:pt idx="95">
                  <c:v>9.57</c:v>
                </c:pt>
                <c:pt idx="96">
                  <c:v>14.34</c:v>
                </c:pt>
                <c:pt idx="97">
                  <c:v>5.17</c:v>
                </c:pt>
                <c:pt idx="98">
                  <c:v>15.73</c:v>
                </c:pt>
                <c:pt idx="99">
                  <c:v>14.47</c:v>
                </c:pt>
                <c:pt idx="100">
                  <c:v>8.2100000000000009</c:v>
                </c:pt>
                <c:pt idx="101">
                  <c:v>6.42</c:v>
                </c:pt>
                <c:pt idx="102">
                  <c:v>7.05</c:v>
                </c:pt>
                <c:pt idx="103">
                  <c:v>7.27</c:v>
                </c:pt>
                <c:pt idx="104">
                  <c:v>8.52</c:v>
                </c:pt>
                <c:pt idx="105">
                  <c:v>13.44</c:v>
                </c:pt>
                <c:pt idx="106">
                  <c:v>12.68</c:v>
                </c:pt>
                <c:pt idx="107">
                  <c:v>14.61</c:v>
                </c:pt>
                <c:pt idx="108">
                  <c:v>6.38</c:v>
                </c:pt>
                <c:pt idx="109">
                  <c:v>9.99</c:v>
                </c:pt>
                <c:pt idx="110">
                  <c:v>10.18</c:v>
                </c:pt>
                <c:pt idx="111">
                  <c:v>10.23</c:v>
                </c:pt>
                <c:pt idx="112">
                  <c:v>4.41</c:v>
                </c:pt>
                <c:pt idx="113">
                  <c:v>9.26</c:v>
                </c:pt>
                <c:pt idx="114">
                  <c:v>5.97</c:v>
                </c:pt>
                <c:pt idx="115">
                  <c:v>9.91</c:v>
                </c:pt>
                <c:pt idx="116">
                  <c:v>7.64</c:v>
                </c:pt>
                <c:pt idx="117">
                  <c:v>13.08</c:v>
                </c:pt>
                <c:pt idx="118">
                  <c:v>15.62</c:v>
                </c:pt>
                <c:pt idx="119">
                  <c:v>7.97</c:v>
                </c:pt>
                <c:pt idx="120">
                  <c:v>13.26</c:v>
                </c:pt>
                <c:pt idx="121">
                  <c:v>11.82</c:v>
                </c:pt>
                <c:pt idx="122">
                  <c:v>7.66</c:v>
                </c:pt>
                <c:pt idx="123">
                  <c:v>13.26</c:v>
                </c:pt>
                <c:pt idx="124">
                  <c:v>6.83</c:v>
                </c:pt>
                <c:pt idx="125">
                  <c:v>6.37</c:v>
                </c:pt>
                <c:pt idx="126">
                  <c:v>12.34</c:v>
                </c:pt>
                <c:pt idx="127">
                  <c:v>4.55</c:v>
                </c:pt>
                <c:pt idx="128">
                  <c:v>13.31</c:v>
                </c:pt>
                <c:pt idx="129">
                  <c:v>12.06</c:v>
                </c:pt>
                <c:pt idx="130">
                  <c:v>11.2</c:v>
                </c:pt>
                <c:pt idx="131">
                  <c:v>10.6</c:v>
                </c:pt>
                <c:pt idx="132">
                  <c:v>9.92</c:v>
                </c:pt>
                <c:pt idx="133">
                  <c:v>14.04</c:v>
                </c:pt>
                <c:pt idx="134">
                  <c:v>12.76</c:v>
                </c:pt>
                <c:pt idx="135">
                  <c:v>13.03</c:v>
                </c:pt>
                <c:pt idx="136">
                  <c:v>5.91</c:v>
                </c:pt>
                <c:pt idx="137">
                  <c:v>9.41</c:v>
                </c:pt>
                <c:pt idx="138">
                  <c:v>7.64</c:v>
                </c:pt>
                <c:pt idx="139">
                  <c:v>13.34</c:v>
                </c:pt>
                <c:pt idx="140">
                  <c:v>8.07</c:v>
                </c:pt>
                <c:pt idx="141">
                  <c:v>12.1</c:v>
                </c:pt>
              </c:numCache>
            </c:numRef>
          </c:xVal>
          <c:yVal>
            <c:numRef>
              <c:f>'Base de datos 2024 2'!$H$2:$H$143</c:f>
              <c:numCache>
                <c:formatCode>#,##0.00\ "€"</c:formatCode>
                <c:ptCount val="142"/>
                <c:pt idx="0">
                  <c:v>2400.75</c:v>
                </c:pt>
                <c:pt idx="1">
                  <c:v>3435.75</c:v>
                </c:pt>
                <c:pt idx="2">
                  <c:v>2389.5</c:v>
                </c:pt>
                <c:pt idx="3">
                  <c:v>3363.75</c:v>
                </c:pt>
                <c:pt idx="4">
                  <c:v>2733.75</c:v>
                </c:pt>
                <c:pt idx="5">
                  <c:v>1201.5</c:v>
                </c:pt>
                <c:pt idx="6">
                  <c:v>2911.5</c:v>
                </c:pt>
                <c:pt idx="7">
                  <c:v>2070</c:v>
                </c:pt>
                <c:pt idx="8">
                  <c:v>3510</c:v>
                </c:pt>
                <c:pt idx="9">
                  <c:v>2076.75</c:v>
                </c:pt>
                <c:pt idx="10">
                  <c:v>1910.25</c:v>
                </c:pt>
                <c:pt idx="11">
                  <c:v>2598.75</c:v>
                </c:pt>
                <c:pt idx="12">
                  <c:v>2742.75</c:v>
                </c:pt>
                <c:pt idx="13">
                  <c:v>2166.75</c:v>
                </c:pt>
                <c:pt idx="14">
                  <c:v>1469.25</c:v>
                </c:pt>
                <c:pt idx="15">
                  <c:v>2479.5</c:v>
                </c:pt>
                <c:pt idx="16">
                  <c:v>2475</c:v>
                </c:pt>
                <c:pt idx="17">
                  <c:v>1298.25</c:v>
                </c:pt>
                <c:pt idx="18">
                  <c:v>1730.25</c:v>
                </c:pt>
                <c:pt idx="19">
                  <c:v>1523.25</c:v>
                </c:pt>
                <c:pt idx="20">
                  <c:v>2238.75</c:v>
                </c:pt>
                <c:pt idx="21">
                  <c:v>1347.75</c:v>
                </c:pt>
                <c:pt idx="22">
                  <c:v>1467</c:v>
                </c:pt>
                <c:pt idx="23">
                  <c:v>1932.75</c:v>
                </c:pt>
                <c:pt idx="24">
                  <c:v>3384</c:v>
                </c:pt>
                <c:pt idx="25">
                  <c:v>2218.5</c:v>
                </c:pt>
                <c:pt idx="26">
                  <c:v>3271.5</c:v>
                </c:pt>
                <c:pt idx="27">
                  <c:v>2000.2500000000002</c:v>
                </c:pt>
                <c:pt idx="28">
                  <c:v>3541.5</c:v>
                </c:pt>
                <c:pt idx="29">
                  <c:v>3474</c:v>
                </c:pt>
                <c:pt idx="30">
                  <c:v>3060</c:v>
                </c:pt>
                <c:pt idx="31">
                  <c:v>2567.25</c:v>
                </c:pt>
                <c:pt idx="32">
                  <c:v>1606.5</c:v>
                </c:pt>
                <c:pt idx="33">
                  <c:v>2290.5</c:v>
                </c:pt>
                <c:pt idx="34">
                  <c:v>2187</c:v>
                </c:pt>
                <c:pt idx="35">
                  <c:v>1451.25</c:v>
                </c:pt>
                <c:pt idx="36">
                  <c:v>2934</c:v>
                </c:pt>
                <c:pt idx="37">
                  <c:v>1116</c:v>
                </c:pt>
                <c:pt idx="38">
                  <c:v>1154.25</c:v>
                </c:pt>
                <c:pt idx="39">
                  <c:v>3433.5</c:v>
                </c:pt>
                <c:pt idx="40">
                  <c:v>1808.9999999999998</c:v>
                </c:pt>
                <c:pt idx="41">
                  <c:v>3363.75</c:v>
                </c:pt>
                <c:pt idx="42">
                  <c:v>2223</c:v>
                </c:pt>
                <c:pt idx="43">
                  <c:v>3429</c:v>
                </c:pt>
                <c:pt idx="44">
                  <c:v>1449</c:v>
                </c:pt>
                <c:pt idx="45">
                  <c:v>3577.5</c:v>
                </c:pt>
                <c:pt idx="46">
                  <c:v>3478.5</c:v>
                </c:pt>
                <c:pt idx="47">
                  <c:v>2817</c:v>
                </c:pt>
                <c:pt idx="48">
                  <c:v>951.75000000000011</c:v>
                </c:pt>
                <c:pt idx="49">
                  <c:v>1748.25</c:v>
                </c:pt>
                <c:pt idx="50">
                  <c:v>2736</c:v>
                </c:pt>
                <c:pt idx="51">
                  <c:v>2108.25</c:v>
                </c:pt>
                <c:pt idx="52">
                  <c:v>2655</c:v>
                </c:pt>
                <c:pt idx="53">
                  <c:v>2931.75</c:v>
                </c:pt>
                <c:pt idx="54">
                  <c:v>1174.5</c:v>
                </c:pt>
                <c:pt idx="55">
                  <c:v>1397.25</c:v>
                </c:pt>
                <c:pt idx="56">
                  <c:v>2754</c:v>
                </c:pt>
                <c:pt idx="57">
                  <c:v>3534.75</c:v>
                </c:pt>
                <c:pt idx="58">
                  <c:v>2819.25</c:v>
                </c:pt>
                <c:pt idx="59">
                  <c:v>3496.5</c:v>
                </c:pt>
                <c:pt idx="60">
                  <c:v>1016.9999999999999</c:v>
                </c:pt>
                <c:pt idx="61">
                  <c:v>1986.75</c:v>
                </c:pt>
                <c:pt idx="62">
                  <c:v>2598.75</c:v>
                </c:pt>
                <c:pt idx="63">
                  <c:v>2144.25</c:v>
                </c:pt>
                <c:pt idx="64">
                  <c:v>2191.5</c:v>
                </c:pt>
                <c:pt idx="65">
                  <c:v>2295</c:v>
                </c:pt>
                <c:pt idx="66">
                  <c:v>3514.5</c:v>
                </c:pt>
                <c:pt idx="67">
                  <c:v>2119.5</c:v>
                </c:pt>
                <c:pt idx="68">
                  <c:v>2828.25</c:v>
                </c:pt>
                <c:pt idx="69">
                  <c:v>1233</c:v>
                </c:pt>
                <c:pt idx="70">
                  <c:v>3089.25</c:v>
                </c:pt>
                <c:pt idx="71">
                  <c:v>1705.5</c:v>
                </c:pt>
                <c:pt idx="72">
                  <c:v>1892.25</c:v>
                </c:pt>
                <c:pt idx="73">
                  <c:v>2589.75</c:v>
                </c:pt>
                <c:pt idx="74">
                  <c:v>1941.7500000000002</c:v>
                </c:pt>
                <c:pt idx="75">
                  <c:v>2963.25</c:v>
                </c:pt>
                <c:pt idx="76">
                  <c:v>3546</c:v>
                </c:pt>
                <c:pt idx="77">
                  <c:v>3483</c:v>
                </c:pt>
                <c:pt idx="78">
                  <c:v>1464.75</c:v>
                </c:pt>
                <c:pt idx="79">
                  <c:v>2322</c:v>
                </c:pt>
                <c:pt idx="80">
                  <c:v>2767.5</c:v>
                </c:pt>
                <c:pt idx="81">
                  <c:v>2661.75</c:v>
                </c:pt>
                <c:pt idx="82">
                  <c:v>1847.2500000000002</c:v>
                </c:pt>
                <c:pt idx="83">
                  <c:v>2925</c:v>
                </c:pt>
                <c:pt idx="84">
                  <c:v>3089.25</c:v>
                </c:pt>
                <c:pt idx="85">
                  <c:v>1280.25</c:v>
                </c:pt>
                <c:pt idx="86">
                  <c:v>3550.5</c:v>
                </c:pt>
                <c:pt idx="87">
                  <c:v>2605.5</c:v>
                </c:pt>
                <c:pt idx="88">
                  <c:v>1062</c:v>
                </c:pt>
                <c:pt idx="89">
                  <c:v>2490.75</c:v>
                </c:pt>
                <c:pt idx="90">
                  <c:v>2754</c:v>
                </c:pt>
                <c:pt idx="91">
                  <c:v>2655</c:v>
                </c:pt>
                <c:pt idx="92">
                  <c:v>3262.5</c:v>
                </c:pt>
                <c:pt idx="93">
                  <c:v>2853</c:v>
                </c:pt>
                <c:pt idx="94">
                  <c:v>2486.25</c:v>
                </c:pt>
                <c:pt idx="95">
                  <c:v>2153.25</c:v>
                </c:pt>
                <c:pt idx="96">
                  <c:v>3226.5</c:v>
                </c:pt>
                <c:pt idx="97">
                  <c:v>1163.25</c:v>
                </c:pt>
                <c:pt idx="98">
                  <c:v>3539.25</c:v>
                </c:pt>
                <c:pt idx="99">
                  <c:v>3255.75</c:v>
                </c:pt>
                <c:pt idx="100">
                  <c:v>1847.2500000000002</c:v>
                </c:pt>
                <c:pt idx="101">
                  <c:v>1444.5</c:v>
                </c:pt>
                <c:pt idx="102">
                  <c:v>1586.25</c:v>
                </c:pt>
                <c:pt idx="103">
                  <c:v>1635.75</c:v>
                </c:pt>
                <c:pt idx="104">
                  <c:v>1917</c:v>
                </c:pt>
                <c:pt idx="105">
                  <c:v>3024</c:v>
                </c:pt>
                <c:pt idx="106">
                  <c:v>2853</c:v>
                </c:pt>
                <c:pt idx="107">
                  <c:v>3287.25</c:v>
                </c:pt>
                <c:pt idx="108">
                  <c:v>1435.5</c:v>
                </c:pt>
                <c:pt idx="109">
                  <c:v>2247.75</c:v>
                </c:pt>
                <c:pt idx="110">
                  <c:v>2290.5</c:v>
                </c:pt>
                <c:pt idx="111">
                  <c:v>2301.75</c:v>
                </c:pt>
                <c:pt idx="112">
                  <c:v>992.25</c:v>
                </c:pt>
                <c:pt idx="113">
                  <c:v>2083.5</c:v>
                </c:pt>
                <c:pt idx="114">
                  <c:v>1343.25</c:v>
                </c:pt>
                <c:pt idx="115">
                  <c:v>2229.75</c:v>
                </c:pt>
                <c:pt idx="116">
                  <c:v>1719</c:v>
                </c:pt>
                <c:pt idx="117">
                  <c:v>2943</c:v>
                </c:pt>
                <c:pt idx="118">
                  <c:v>3514.5</c:v>
                </c:pt>
                <c:pt idx="119">
                  <c:v>1793.25</c:v>
                </c:pt>
                <c:pt idx="120">
                  <c:v>2983.5</c:v>
                </c:pt>
                <c:pt idx="121">
                  <c:v>2659.5</c:v>
                </c:pt>
                <c:pt idx="122">
                  <c:v>1723.5</c:v>
                </c:pt>
                <c:pt idx="123">
                  <c:v>2983.5</c:v>
                </c:pt>
                <c:pt idx="124">
                  <c:v>1536.75</c:v>
                </c:pt>
                <c:pt idx="125">
                  <c:v>1433.25</c:v>
                </c:pt>
                <c:pt idx="126">
                  <c:v>2776.5</c:v>
                </c:pt>
                <c:pt idx="127">
                  <c:v>1023.75</c:v>
                </c:pt>
                <c:pt idx="128">
                  <c:v>2994.75</c:v>
                </c:pt>
                <c:pt idx="129">
                  <c:v>2713.5</c:v>
                </c:pt>
                <c:pt idx="130">
                  <c:v>2520</c:v>
                </c:pt>
                <c:pt idx="131">
                  <c:v>2385</c:v>
                </c:pt>
                <c:pt idx="132">
                  <c:v>2232</c:v>
                </c:pt>
                <c:pt idx="133">
                  <c:v>3159</c:v>
                </c:pt>
                <c:pt idx="134">
                  <c:v>2871</c:v>
                </c:pt>
                <c:pt idx="135">
                  <c:v>2931.75</c:v>
                </c:pt>
                <c:pt idx="136">
                  <c:v>1329.75</c:v>
                </c:pt>
                <c:pt idx="137">
                  <c:v>2117.25</c:v>
                </c:pt>
                <c:pt idx="138">
                  <c:v>1719</c:v>
                </c:pt>
                <c:pt idx="139">
                  <c:v>3001.5</c:v>
                </c:pt>
                <c:pt idx="140">
                  <c:v>1815.75</c:v>
                </c:pt>
                <c:pt idx="141">
                  <c:v>2722.5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86-428E-83A9-704AC2F40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821631"/>
        <c:axId val="1954824511"/>
      </c:scatterChart>
      <c:valAx>
        <c:axId val="195482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Horas de trabajo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54824511"/>
        <c:crosses val="autoZero"/>
        <c:crossBetween val="midCat"/>
      </c:valAx>
      <c:valAx>
        <c:axId val="19548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Valor total de la operación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954821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'Base de datos histórica'!$I$2:$I$6</c:f>
              <c:numCache>
                <c:formatCode>#,##0.00\ "€"</c:formatCode>
                <c:ptCount val="5"/>
                <c:pt idx="0">
                  <c:v>12250</c:v>
                </c:pt>
                <c:pt idx="1">
                  <c:v>14350</c:v>
                </c:pt>
                <c:pt idx="2">
                  <c:v>16540.740000000002</c:v>
                </c:pt>
                <c:pt idx="3">
                  <c:v>18840.560000000001</c:v>
                </c:pt>
                <c:pt idx="4">
                  <c:v>23180.01</c:v>
                </c:pt>
              </c:numCache>
            </c:numRef>
          </c:xVal>
          <c:yVal>
            <c:numRef>
              <c:f>'Base de datos histórica'!$R$2:$R$6</c:f>
              <c:numCache>
                <c:formatCode>#,##0.00\ "€"</c:formatCode>
                <c:ptCount val="5"/>
                <c:pt idx="0">
                  <c:v>980948.09146069502</c:v>
                </c:pt>
                <c:pt idx="1">
                  <c:v>1077331.4367556341</c:v>
                </c:pt>
                <c:pt idx="2">
                  <c:v>1138222.9459894104</c:v>
                </c:pt>
                <c:pt idx="3">
                  <c:v>1312001.5320997643</c:v>
                </c:pt>
                <c:pt idx="4">
                  <c:v>1386563.75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B-406F-A908-06655589A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481200"/>
        <c:axId val="1143486000"/>
      </c:scatterChart>
      <c:valAx>
        <c:axId val="114348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Inversión anual en alianzas estratégicas</a:t>
                </a:r>
                <a:r>
                  <a:rPr lang="es-AR" baseline="0"/>
                  <a:t> con organizadores de eventos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43486000"/>
        <c:crosses val="autoZero"/>
        <c:crossBetween val="midCat"/>
      </c:valAx>
      <c:valAx>
        <c:axId val="114348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/>
                  <a:t>Ventas</a:t>
                </a:r>
                <a:r>
                  <a:rPr lang="es-AR" baseline="0"/>
                  <a:t> anuales en eventos particulares</a:t>
                </a:r>
                <a:endParaRPr lang="es-A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#,##0.00\ &quot;€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4348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'Análisis de escenarios'!$B$3:$B$5</c:f>
              <c:strCache>
                <c:ptCount val="3"/>
                <c:pt idx="0">
                  <c:v>Pesimista</c:v>
                </c:pt>
                <c:pt idx="1">
                  <c:v>Moderado</c:v>
                </c:pt>
                <c:pt idx="2">
                  <c:v>Optimista</c:v>
                </c:pt>
              </c:strCache>
            </c:strRef>
          </c:cat>
          <c:val>
            <c:numRef>
              <c:f>'Análisis de escenarios'!$C$3:$C$5</c:f>
              <c:numCache>
                <c:formatCode>#,##0.00\ "€"</c:formatCode>
                <c:ptCount val="3"/>
                <c:pt idx="0">
                  <c:v>337034.71408545721</c:v>
                </c:pt>
                <c:pt idx="1">
                  <c:v>349745.76</c:v>
                </c:pt>
                <c:pt idx="2">
                  <c:v>362456.84301785211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6-4923-BDBF-1ABE6A5260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4422511"/>
        <c:axId val="1144424911"/>
      </c:barChart>
      <c:catAx>
        <c:axId val="114442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44424911"/>
        <c:crosses val="autoZero"/>
        <c:auto val="1"/>
        <c:lblAlgn val="ctr"/>
        <c:lblOffset val="100"/>
        <c:noMultiLvlLbl val="0"/>
      </c:catAx>
      <c:valAx>
        <c:axId val="114442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A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Ventas anuales en eventos particulares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44422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9525</xdr:rowOff>
    </xdr:from>
    <xdr:to>
      <xdr:col>9</xdr:col>
      <xdr:colOff>385762</xdr:colOff>
      <xdr:row>16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2ED4DD-BDBC-A610-02CA-9C58D493C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</xdr:colOff>
      <xdr:row>2</xdr:row>
      <xdr:rowOff>9525</xdr:rowOff>
    </xdr:from>
    <xdr:to>
      <xdr:col>9</xdr:col>
      <xdr:colOff>300037</xdr:colOff>
      <xdr:row>17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47272F-2D17-3D60-EDB9-4337BA072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</xdr:colOff>
      <xdr:row>2</xdr:row>
      <xdr:rowOff>28575</xdr:rowOff>
    </xdr:from>
    <xdr:to>
      <xdr:col>9</xdr:col>
      <xdr:colOff>395287</xdr:colOff>
      <xdr:row>17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A0D87B0-1A3D-60D0-7C31-10887FB0E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381000</xdr:colOff>
      <xdr:row>16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C34430-B35F-4E55-BD80-820E6D7E0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381000</xdr:colOff>
      <xdr:row>16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E610C6-C95B-48B7-8301-53C18F5A3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6</xdr:col>
      <xdr:colOff>381000</xdr:colOff>
      <xdr:row>16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A10A32-55DD-421E-819B-3F7EAB0BA5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</xdr:colOff>
      <xdr:row>1</xdr:row>
      <xdr:rowOff>9525</xdr:rowOff>
    </xdr:from>
    <xdr:to>
      <xdr:col>10</xdr:col>
      <xdr:colOff>404812</xdr:colOff>
      <xdr:row>16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9B7A91-C164-4EE3-F450-31C7FD7B2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Ignacio" refreshedDate="45633.646020717591" createdVersion="8" refreshedVersion="8" minRefreshableVersion="3" recordCount="507" xr:uid="{3C3F0ABC-175E-4990-8D01-BDFCC4269F3E}">
  <cacheSource type="worksheet">
    <worksheetSource name="Tabla1"/>
  </cacheSource>
  <cacheFields count="7">
    <cacheField name="Fecha de la operación" numFmtId="0">
      <sharedItems/>
    </cacheField>
    <cacheField name="Ubicación (Provincia)" numFmtId="0">
      <sharedItems/>
    </cacheField>
    <cacheField name="Segmento de cliente" numFmtId="0">
      <sharedItems count="4">
        <s v="Inspecciones técnicas"/>
        <s v="Eventos particulares"/>
        <s v="Inspecciones agrícolas"/>
        <s v="Federaciones y asociaciones deportivas"/>
      </sharedItems>
    </cacheField>
    <cacheField name="Categoría del piloto responsable" numFmtId="0">
      <sharedItems/>
    </cacheField>
    <cacheField name="Horas de trabajo" numFmtId="0">
      <sharedItems containsSemiMixedTypes="0" containsString="0" containsNumber="1" minValue="4.03" maxValue="15.99"/>
    </cacheField>
    <cacheField name="Valor de la hora de trabajo" numFmtId="164">
      <sharedItems/>
    </cacheField>
    <cacheField name="Valor total de la operación" numFmtId="164">
      <sharedItems containsSemiMixedTypes="0" containsString="0" containsNumber="1" minValue="951.75000000000011" maxValue="4797" count="464">
        <n v="4629"/>
        <n v="2817"/>
        <n v="3384"/>
        <n v="2218.5"/>
        <n v="1866"/>
        <n v="2161.5"/>
        <n v="951.75000000000011"/>
        <n v="1762.5"/>
        <n v="3489.0000000000005"/>
        <n v="3737.25"/>
        <n v="1171.5"/>
        <n v="2436.5"/>
        <n v="3606"/>
        <n v="2307.25"/>
        <n v="3279"/>
        <n v="4008"/>
        <n v="1444.5"/>
        <n v="3999"/>
        <n v="2642.5"/>
        <n v="1240"/>
        <n v="1280.9999999999998"/>
        <n v="2598.75"/>
        <n v="3271.5"/>
        <n v="3161.9999999999995"/>
        <n v="2844"/>
        <n v="1748.25"/>
        <n v="1230"/>
        <n v="2772"/>
        <n v="2191.5"/>
        <n v="2030.9999999999998"/>
        <n v="2112"/>
        <n v="3825"/>
        <n v="1446"/>
        <n v="2713.5"/>
        <n v="3918"/>
        <n v="2076"/>
        <n v="2736"/>
        <n v="2535.5"/>
        <n v="3543"/>
        <n v="2164.25"/>
        <n v="2526"/>
        <n v="3399"/>
        <n v="3957"/>
        <n v="2808"/>
        <n v="3992.5"/>
        <n v="2301.75"/>
        <n v="1746.25"/>
        <n v="2623.4999999999995"/>
        <n v="3140.5"/>
        <n v="3372"/>
        <n v="2700"/>
        <n v="2400.75"/>
        <n v="2742.75"/>
        <n v="1430.9999999999998"/>
        <n v="1451.25"/>
        <n v="2934"/>
        <n v="2574"/>
        <n v="2655"/>
        <n v="2108.25"/>
        <n v="1497"/>
        <n v="2085"/>
        <n v="992.25"/>
        <n v="2575"/>
        <n v="4200"/>
        <n v="2553"/>
        <n v="3435.75"/>
        <n v="1398"/>
        <n v="2166.75"/>
        <n v="1469.25"/>
        <n v="4212"/>
        <n v="4257"/>
        <n v="3228"/>
        <n v="2295"/>
        <n v="3960"/>
        <n v="1899"/>
        <n v="3363.25"/>
        <n v="1586.25"/>
        <n v="4332"/>
        <n v="1760"/>
        <n v="4394.5"/>
        <n v="3905"/>
        <n v="2820"/>
        <n v="2520"/>
        <n v="3118.5"/>
        <n v="1524"/>
        <n v="2662"/>
        <n v="2544"/>
        <n v="4131"/>
        <n v="1947"/>
        <n v="1302"/>
        <n v="4155.25"/>
        <n v="1737"/>
        <n v="1375"/>
        <n v="2931.75"/>
        <n v="3546"/>
        <n v="1635.75"/>
        <n v="1917"/>
        <n v="3173.4999999999995"/>
        <n v="4107"/>
        <n v="2389.5"/>
        <n v="3342.5"/>
        <n v="4776"/>
        <n v="1628"/>
        <n v="2326.5000000000005"/>
        <n v="1545"/>
        <n v="1362"/>
        <n v="1536.75"/>
        <n v="2479.5"/>
        <n v="2601"/>
        <n v="1233"/>
        <n v="3514.5"/>
        <n v="2818.75"/>
        <n v="3483"/>
        <n v="2851.75"/>
        <n v="1792.5"/>
        <n v="4239"/>
        <n v="3429"/>
        <n v="3940.75"/>
        <n v="4401"/>
        <n v="1433.25"/>
        <n v="2385"/>
        <n v="1952.5"/>
        <n v="3978"/>
        <n v="1336.5"/>
        <n v="2310"/>
        <n v="1569.0000000000002"/>
        <n v="1116"/>
        <n v="1174.5"/>
        <n v="2447.5"/>
        <n v="1986"/>
        <n v="2521.75"/>
        <n v="2490.75"/>
        <n v="3402"/>
        <n v="2475"/>
        <n v="2083.5"/>
        <n v="3690"/>
        <n v="1680"/>
        <n v="2232"/>
        <n v="2097"/>
        <n v="4213"/>
        <n v="1397.25"/>
        <n v="2843.5"/>
        <n v="1263"/>
        <n v="2403"/>
        <n v="3847.25"/>
        <n v="2754"/>
        <n v="3024"/>
        <n v="4167"/>
        <n v="2874"/>
        <n v="4152"/>
        <n v="3363.75"/>
        <n v="1298.25"/>
        <n v="2478"/>
        <n v="3613.5"/>
        <n v="1842.5"/>
        <n v="4391.75"/>
        <n v="2000.2500000000002"/>
        <n v="1154.25"/>
        <n v="3502.5"/>
        <n v="1495"/>
        <n v="3949"/>
        <n v="4158"/>
        <n v="2776.5"/>
        <n v="4785"/>
        <n v="4081"/>
        <n v="3969"/>
        <n v="3870"/>
        <n v="3357"/>
        <n v="3855"/>
        <n v="3630"/>
        <n v="2437.5"/>
        <n v="2119.5"/>
        <n v="2139"/>
        <n v="3432"/>
        <n v="1464.75"/>
        <n v="1397"/>
        <n v="3355"/>
        <n v="3443"/>
        <n v="1331"/>
        <n v="2733.75"/>
        <n v="1467"/>
        <n v="1730.25"/>
        <n v="2915"/>
        <n v="3433.5"/>
        <n v="1201.75"/>
        <n v="1280"/>
        <n v="2897.5"/>
        <n v="2828.25"/>
        <n v="2767.5"/>
        <n v="2197.25"/>
        <n v="2322"/>
        <n v="3933"/>
        <n v="4623"/>
        <n v="2355"/>
        <n v="3528"/>
        <n v="3280"/>
        <n v="4152.5"/>
        <n v="3461.9999999999995"/>
        <n v="3982.5"/>
        <n v="2337.5"/>
        <n v="3159"/>
        <n v="3495.2500000000005"/>
        <n v="1254"/>
        <n v="1201.5"/>
        <n v="3541.5"/>
        <n v="1722"/>
        <n v="1882.5"/>
        <n v="3729"/>
        <n v="1809"/>
        <n v="3180"/>
        <n v="3534.75"/>
        <n v="1620"/>
        <n v="1950"/>
        <n v="3289.0000000000005"/>
        <n v="3366"/>
        <n v="1343.25"/>
        <n v="3039.0000000000005"/>
        <n v="3309"/>
        <n v="4569"/>
        <n v="3511.75"/>
        <n v="4683"/>
        <n v="2911.5"/>
        <n v="3025"/>
        <n v="4323"/>
        <n v="1808.9999999999998"/>
        <n v="3490"/>
        <n v="3210"/>
        <n v="2021.25"/>
        <n v="2585"/>
        <n v="1314.5"/>
        <n v="1914"/>
        <n v="4371"/>
        <n v="1329"/>
        <n v="2415"/>
        <n v="2229.75"/>
        <n v="2871"/>
        <n v="4386.25"/>
        <n v="4314.75"/>
        <n v="2105"/>
        <n v="2398"/>
        <n v="2752.5"/>
        <n v="3877.5"/>
        <n v="3262.5"/>
        <n v="2853"/>
        <n v="3297.25"/>
        <n v="1422"/>
        <n v="4185"/>
        <n v="3003"/>
        <n v="2103"/>
        <n v="4367"/>
        <n v="4734"/>
        <n v="2223"/>
        <n v="1245"/>
        <n v="4431"/>
        <n v="4728"/>
        <n v="2661.75"/>
        <n v="1940"/>
        <n v="1650"/>
        <n v="2103.75"/>
        <n v="2010"/>
        <n v="1719"/>
        <n v="1435"/>
        <n v="3374.25"/>
        <n v="2388"/>
        <n v="3675"/>
        <n v="4470"/>
        <n v="2238.75"/>
        <n v="1523.25"/>
        <n v="3330"/>
        <n v="3474"/>
        <n v="3060"/>
        <n v="2805"/>
        <n v="3369"/>
        <n v="2819.25"/>
        <n v="3089.25"/>
        <n v="1761"/>
        <n v="1847.2500000000002"/>
        <n v="2486.25"/>
        <n v="1740"/>
        <n v="3609"/>
        <n v="4530"/>
        <n v="3141"/>
        <n v="1342.5"/>
        <n v="3135"/>
        <n v="2567.25"/>
        <n v="1705.5"/>
        <n v="2550"/>
        <n v="3903"/>
        <n v="3287.25"/>
        <n v="4593"/>
        <n v="2943"/>
        <n v="1311"/>
        <n v="1575"/>
        <n v="2604"/>
        <n v="2070"/>
        <n v="1347.75"/>
        <n v="1938"/>
        <n v="3057.5"/>
        <n v="1794.0000000000002"/>
        <n v="3090"/>
        <n v="3459.5"/>
        <n v="1152.25"/>
        <n v="2634"/>
        <n v="2153.25"/>
        <n v="4029"/>
        <n v="3981"/>
        <n v="2774.75"/>
        <n v="1435.5"/>
        <n v="2247.75"/>
        <n v="1215"/>
        <n v="3540"/>
        <n v="1793.25"/>
        <n v="1122.5"/>
        <n v="1329.75"/>
        <n v="3696"/>
        <n v="2927.5"/>
        <n v="1892.9999999999998"/>
        <n v="3723"/>
        <n v="1606.5"/>
        <n v="1872"/>
        <n v="3303"/>
        <n v="3705"/>
        <n v="2238"/>
        <n v="2166"/>
        <n v="1040"/>
        <n v="3226.5"/>
        <n v="2983.5"/>
        <n v="2454"/>
        <n v="1932.75"/>
        <n v="4773"/>
        <n v="4236"/>
        <n v="1146.75"/>
        <n v="3410.9999999999995"/>
        <n v="3204"/>
        <n v="2850"/>
        <n v="1347"/>
        <n v="2840"/>
        <n v="1660"/>
        <n v="1367.9999999999998"/>
        <n v="3468"/>
        <n v="4308"/>
        <n v="4161"/>
        <n v="4070"/>
        <n v="1817.9999999999998"/>
        <n v="4566"/>
        <n v="3264.0000000000005"/>
        <n v="3510"/>
        <n v="3146"/>
        <n v="3831"/>
        <n v="2102.5"/>
        <n v="4094.75"/>
        <n v="3496.5"/>
        <n v="1016.9999999999999"/>
        <n v="4050.75"/>
        <n v="2925"/>
        <n v="4662"/>
        <n v="2508"/>
        <n v="2612.5"/>
        <n v="2252.5"/>
        <n v="2365"/>
        <n v="3522"/>
        <n v="1986.75"/>
        <n v="3662.5"/>
        <n v="3633"/>
        <n v="1892.25"/>
        <n v="3315"/>
        <n v="4197"/>
        <n v="1542"/>
        <n v="2346"/>
        <n v="1023.75"/>
        <n v="2117.25"/>
        <n v="2802.25"/>
        <n v="2076.75"/>
        <n v="3618"/>
        <n v="1449"/>
        <n v="1280.25"/>
        <n v="2132.5"/>
        <n v="1163.25"/>
        <n v="1477.5"/>
        <n v="2343"/>
        <n v="2659.5"/>
        <n v="2351.25"/>
        <n v="3693"/>
        <n v="3249"/>
        <n v="1007.5000000000001"/>
        <n v="3577.5"/>
        <n v="3478.5"/>
        <n v="3475"/>
        <n v="4797"/>
        <n v="3011.9999999999995"/>
        <n v="1704"/>
        <n v="2589.75"/>
        <n v="3550.5"/>
        <n v="3539.25"/>
        <n v="3603"/>
        <n v="4185.5"/>
        <n v="1647.5"/>
        <n v="1619.75"/>
        <n v="1723.5"/>
        <n v="3414.0000000000005"/>
        <n v="3001.5"/>
        <n v="1734"/>
        <n v="4701"/>
        <n v="2664.0000000000005"/>
        <n v="2290.5"/>
        <n v="2605.5"/>
        <n v="1062"/>
        <n v="3255.75"/>
        <n v="2004"/>
        <n v="3910.5"/>
        <n v="1926"/>
        <n v="1596"/>
        <n v="2793"/>
        <n v="1317"/>
        <n v="1218.25"/>
        <n v="2304.5"/>
        <n v="4341"/>
        <n v="2847"/>
        <n v="1797"/>
        <n v="2187"/>
        <n v="1941.7500000000002"/>
        <n v="2963.25"/>
        <n v="3921.5"/>
        <n v="3641"/>
        <n v="1507.0000000000002"/>
        <n v="1851"/>
        <n v="2994.75"/>
        <n v="2635"/>
        <n v="3710.9999999999995"/>
        <n v="1815.75"/>
        <n v="2722.5"/>
        <n v="2580"/>
        <n v="1749"/>
        <n v="2510.9999999999995"/>
        <n v="3410"/>
        <n v="2822.5"/>
        <n v="4270.75"/>
        <n v="2255"/>
        <n v="2046"/>
        <n v="4788"/>
        <n v="1910.25"/>
        <n v="2425.5"/>
        <n v="1162.5"/>
        <n v="4203"/>
        <n v="3291"/>
        <n v="3099.25"/>
        <n v="3561.25"/>
        <n v="4779"/>
        <n v="3822.5"/>
        <n v="3975"/>
        <n v="4761"/>
        <n v="2090"/>
        <n v="3814.25"/>
        <n v="4224"/>
        <n v="2799"/>
        <n v="2736.25"/>
        <n v="4674"/>
        <n v="1776"/>
        <n v="2144.25"/>
        <n v="3027"/>
        <n v="2335"/>
        <n v="4083"/>
        <n v="3060.75"/>
        <n v="3311.99999999999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7">
  <r>
    <s v="01/01/2024"/>
    <s v="A Coruña"/>
    <x v="0"/>
    <s v="Piloto Senior 2"/>
    <n v="15.43"/>
    <s v="300"/>
    <x v="0"/>
  </r>
  <r>
    <s v="01/03/2024"/>
    <s v="Pontevedra"/>
    <x v="0"/>
    <s v="Piloto Senior 2"/>
    <n v="9.39"/>
    <s v="300"/>
    <x v="1"/>
  </r>
  <r>
    <s v="01/03/2024"/>
    <s v="Lugo"/>
    <x v="1"/>
    <s v="Piloto Junior 1"/>
    <n v="15.04"/>
    <s v="225"/>
    <x v="2"/>
  </r>
  <r>
    <s v="01/03/2024"/>
    <s v="Ourense"/>
    <x v="1"/>
    <s v="Piloto Junior 1"/>
    <n v="9.86"/>
    <s v="225"/>
    <x v="3"/>
  </r>
  <r>
    <s v="01/04/2024"/>
    <s v="Pontevedra"/>
    <x v="0"/>
    <s v="Piloto Senior 2"/>
    <n v="6.22"/>
    <s v="300"/>
    <x v="4"/>
  </r>
  <r>
    <s v="01/05/2024"/>
    <s v="A Coruña"/>
    <x v="2"/>
    <s v="Piloto Senior 1"/>
    <n v="7.86"/>
    <s v="275"/>
    <x v="5"/>
  </r>
  <r>
    <s v="01/05/2024"/>
    <s v="Lugo"/>
    <x v="1"/>
    <s v="Piloto Junior 1"/>
    <n v="4.2300000000000004"/>
    <s v="225"/>
    <x v="6"/>
  </r>
  <r>
    <s v="01/05/2024"/>
    <s v="Lugo"/>
    <x v="3"/>
    <s v="Piloto Junior 2"/>
    <n v="7.05"/>
    <s v="250"/>
    <x v="7"/>
  </r>
  <r>
    <s v="01/06/2024"/>
    <s v="A Coruña"/>
    <x v="0"/>
    <s v="Piloto Senior 2"/>
    <n v="11.63"/>
    <s v="300"/>
    <x v="8"/>
  </r>
  <r>
    <s v="01/06/2024"/>
    <s v="Pontevedra"/>
    <x v="2"/>
    <s v="Piloto Senior 1"/>
    <n v="13.59"/>
    <s v="275"/>
    <x v="9"/>
  </r>
  <r>
    <s v="01/07/2024"/>
    <s v="A Coruña"/>
    <x v="2"/>
    <s v="Piloto Senior 1"/>
    <n v="4.26"/>
    <s v="275"/>
    <x v="10"/>
  </r>
  <r>
    <s v="01/07/2024"/>
    <s v="Ourense"/>
    <x v="2"/>
    <s v="Piloto Senior 1"/>
    <n v="8.86"/>
    <s v="275"/>
    <x v="11"/>
  </r>
  <r>
    <s v="01/08/2024"/>
    <s v="Lugo"/>
    <x v="0"/>
    <s v="Piloto Senior 2"/>
    <n v="12.02"/>
    <s v="300"/>
    <x v="12"/>
  </r>
  <r>
    <s v="01/08/2024"/>
    <s v="Lugo"/>
    <x v="2"/>
    <s v="Piloto Senior 1"/>
    <n v="8.39"/>
    <s v="275"/>
    <x v="13"/>
  </r>
  <r>
    <s v="01/09/2024"/>
    <s v="A Coruña"/>
    <x v="0"/>
    <s v="Piloto Senior 2"/>
    <n v="10.93"/>
    <s v="300"/>
    <x v="14"/>
  </r>
  <r>
    <s v="01/09/2024"/>
    <s v="A Coruña"/>
    <x v="0"/>
    <s v="Piloto Senior 2"/>
    <n v="13.36"/>
    <s v="300"/>
    <x v="15"/>
  </r>
  <r>
    <s v="01/09/2024"/>
    <s v="Pontevedra"/>
    <x v="1"/>
    <s v="Piloto Junior 1"/>
    <n v="6.42"/>
    <s v="225"/>
    <x v="16"/>
  </r>
  <r>
    <s v="01/10/2024"/>
    <s v="A Coruña"/>
    <x v="0"/>
    <s v="Piloto Senior 2"/>
    <n v="13.33"/>
    <s v="300"/>
    <x v="17"/>
  </r>
  <r>
    <s v="01/10/2024"/>
    <s v="A Coruña"/>
    <x v="3"/>
    <s v="Piloto Junior 2"/>
    <n v="10.57"/>
    <s v="250"/>
    <x v="18"/>
  </r>
  <r>
    <s v="01/11/2024"/>
    <s v="A Coruña"/>
    <x v="3"/>
    <s v="Piloto Junior 2"/>
    <n v="4.96"/>
    <s v="250"/>
    <x v="19"/>
  </r>
  <r>
    <s v="02/02/2024"/>
    <s v="Lugo"/>
    <x v="0"/>
    <s v="Piloto Senior 2"/>
    <n v="4.2699999999999996"/>
    <s v="300"/>
    <x v="20"/>
  </r>
  <r>
    <s v="02/02/2024"/>
    <s v="Lugo"/>
    <x v="1"/>
    <s v="Piloto Junior 1"/>
    <n v="11.55"/>
    <s v="225"/>
    <x v="21"/>
  </r>
  <r>
    <s v="02/03/2024"/>
    <s v="Lugo"/>
    <x v="1"/>
    <s v="Piloto Junior 1"/>
    <n v="14.54"/>
    <s v="225"/>
    <x v="22"/>
  </r>
  <r>
    <s v="02/04/2024"/>
    <s v="A Coruña"/>
    <x v="0"/>
    <s v="Piloto Senior 2"/>
    <n v="10.54"/>
    <s v="300"/>
    <x v="23"/>
  </r>
  <r>
    <s v="02/05/2024"/>
    <s v="A Coruña"/>
    <x v="0"/>
    <s v="Piloto Senior 2"/>
    <n v="9.48"/>
    <s v="300"/>
    <x v="24"/>
  </r>
  <r>
    <s v="02/05/2024"/>
    <s v="Lugo"/>
    <x v="1"/>
    <s v="Piloto Junior 1"/>
    <n v="7.77"/>
    <s v="225"/>
    <x v="25"/>
  </r>
  <r>
    <s v="02/05/2024"/>
    <s v="Ourense"/>
    <x v="3"/>
    <s v="Piloto Junior 2"/>
    <n v="4.92"/>
    <s v="250"/>
    <x v="26"/>
  </r>
  <r>
    <s v="02/06/2024"/>
    <s v="A Coruña"/>
    <x v="0"/>
    <s v="Piloto Senior 2"/>
    <n v="9.24"/>
    <s v="300"/>
    <x v="27"/>
  </r>
  <r>
    <s v="02/06/2024"/>
    <s v="Ourense"/>
    <x v="1"/>
    <s v="Piloto Junior 1"/>
    <n v="9.74"/>
    <s v="225"/>
    <x v="28"/>
  </r>
  <r>
    <s v="02/07/2024"/>
    <s v="A Coruña"/>
    <x v="0"/>
    <s v="Piloto Senior 2"/>
    <n v="6.77"/>
    <s v="300"/>
    <x v="29"/>
  </r>
  <r>
    <s v="02/09/2024"/>
    <s v="A Coruña"/>
    <x v="0"/>
    <s v="Piloto Senior 2"/>
    <n v="7.04"/>
    <s v="300"/>
    <x v="30"/>
  </r>
  <r>
    <s v="02/10/2024"/>
    <s v="A Coruña"/>
    <x v="0"/>
    <s v="Piloto Senior 2"/>
    <n v="12.75"/>
    <s v="300"/>
    <x v="31"/>
  </r>
  <r>
    <s v="02/11/2024"/>
    <s v="Lugo"/>
    <x v="0"/>
    <s v="Piloto Senior 2"/>
    <n v="4.82"/>
    <s v="300"/>
    <x v="32"/>
  </r>
  <r>
    <s v="02/12/2024"/>
    <s v="Ourense"/>
    <x v="1"/>
    <s v="Piloto Junior 1"/>
    <n v="12.06"/>
    <s v="225"/>
    <x v="33"/>
  </r>
  <r>
    <s v="03/01/2024"/>
    <s v="Pontevedra"/>
    <x v="0"/>
    <s v="Piloto Senior 2"/>
    <n v="12.75"/>
    <s v="300"/>
    <x v="31"/>
  </r>
  <r>
    <s v="03/05/2024"/>
    <s v="Pontevedra"/>
    <x v="0"/>
    <s v="Piloto Senior 2"/>
    <n v="13.06"/>
    <s v="300"/>
    <x v="34"/>
  </r>
  <r>
    <s v="03/05/2024"/>
    <s v="Lugo"/>
    <x v="0"/>
    <s v="Piloto Senior 2"/>
    <n v="6.92"/>
    <s v="300"/>
    <x v="35"/>
  </r>
  <r>
    <s v="03/05/2024"/>
    <s v="Ourense"/>
    <x v="1"/>
    <s v="Piloto Junior 1"/>
    <n v="12.16"/>
    <s v="225"/>
    <x v="36"/>
  </r>
  <r>
    <s v="03/07/2024"/>
    <s v="A Coruña"/>
    <x v="2"/>
    <s v="Piloto Senior 1"/>
    <n v="9.2200000000000006"/>
    <s v="275"/>
    <x v="37"/>
  </r>
  <r>
    <s v="03/07/2024"/>
    <s v="A Coruña"/>
    <x v="0"/>
    <s v="Piloto Senior 2"/>
    <n v="11.81"/>
    <s v="300"/>
    <x v="38"/>
  </r>
  <r>
    <s v="03/07/2024"/>
    <s v="Pontevedra"/>
    <x v="2"/>
    <s v="Piloto Senior 1"/>
    <n v="7.87"/>
    <s v="275"/>
    <x v="39"/>
  </r>
  <r>
    <s v="03/08/2024"/>
    <s v="A Coruña"/>
    <x v="0"/>
    <s v="Piloto Senior 2"/>
    <n v="8.42"/>
    <s v="300"/>
    <x v="40"/>
  </r>
  <r>
    <s v="03/08/2024"/>
    <s v="A Coruña"/>
    <x v="0"/>
    <s v="Piloto Senior 2"/>
    <n v="11.33"/>
    <s v="300"/>
    <x v="41"/>
  </r>
  <r>
    <s v="03/09/2024"/>
    <s v="Lugo"/>
    <x v="0"/>
    <s v="Piloto Senior 2"/>
    <n v="13.19"/>
    <s v="300"/>
    <x v="42"/>
  </r>
  <r>
    <s v="03/09/2024"/>
    <s v="Ourense"/>
    <x v="0"/>
    <s v="Piloto Senior 2"/>
    <n v="9.36"/>
    <s v="300"/>
    <x v="43"/>
  </r>
  <r>
    <s v="03/10/2024"/>
    <s v="Pontevedra"/>
    <x v="3"/>
    <s v="Piloto Junior 2"/>
    <n v="15.97"/>
    <s v="250"/>
    <x v="44"/>
  </r>
  <r>
    <s v="03/10/2024"/>
    <s v="Lugo"/>
    <x v="1"/>
    <s v="Piloto Junior 1"/>
    <n v="10.23"/>
    <s v="225"/>
    <x v="45"/>
  </r>
  <r>
    <s v="03/10/2024"/>
    <s v="Ourense"/>
    <x v="2"/>
    <s v="Piloto Senior 1"/>
    <n v="6.35"/>
    <s v="275"/>
    <x v="46"/>
  </r>
  <r>
    <s v="03/11/2024"/>
    <s v="A Coruña"/>
    <x v="2"/>
    <s v="Piloto Senior 1"/>
    <n v="9.5399999999999991"/>
    <s v="275"/>
    <x v="47"/>
  </r>
  <r>
    <s v="03/11/2024"/>
    <s v="A Coruña"/>
    <x v="2"/>
    <s v="Piloto Senior 1"/>
    <n v="11.42"/>
    <s v="275"/>
    <x v="48"/>
  </r>
  <r>
    <s v="03/11/2024"/>
    <s v="Lugo"/>
    <x v="0"/>
    <s v="Piloto Senior 2"/>
    <n v="11.24"/>
    <s v="300"/>
    <x v="49"/>
  </r>
  <r>
    <s v="03/12/2024"/>
    <s v="A Coruña"/>
    <x v="0"/>
    <s v="Piloto Senior 2"/>
    <n v="9.24"/>
    <s v="300"/>
    <x v="27"/>
  </r>
  <r>
    <s v="03/12/2024"/>
    <s v="A Coruña"/>
    <x v="3"/>
    <s v="Piloto Junior 2"/>
    <n v="10.8"/>
    <s v="250"/>
    <x v="50"/>
  </r>
  <r>
    <s v="04/01/2024"/>
    <s v="A Coruña"/>
    <x v="1"/>
    <s v="Piloto Junior 1"/>
    <n v="10.67"/>
    <s v="225"/>
    <x v="51"/>
  </r>
  <r>
    <s v="04/02/2024"/>
    <s v="A Coruña"/>
    <x v="1"/>
    <s v="Piloto Junior 1"/>
    <n v="12.19"/>
    <s v="225"/>
    <x v="52"/>
  </r>
  <r>
    <s v="04/03/2024"/>
    <s v="A Coruña"/>
    <x v="0"/>
    <s v="Piloto Senior 2"/>
    <n v="4.7699999999999996"/>
    <s v="300"/>
    <x v="53"/>
  </r>
  <r>
    <s v="04/04/2024"/>
    <s v="A Coruña"/>
    <x v="1"/>
    <s v="Piloto Junior 1"/>
    <n v="6.45"/>
    <s v="225"/>
    <x v="54"/>
  </r>
  <r>
    <s v="04/04/2024"/>
    <s v="Pontevedra"/>
    <x v="1"/>
    <s v="Piloto Junior 1"/>
    <n v="13.04"/>
    <s v="225"/>
    <x v="55"/>
  </r>
  <r>
    <s v="04/04/2024"/>
    <s v="Pontevedra"/>
    <x v="2"/>
    <s v="Piloto Senior 1"/>
    <n v="9.36"/>
    <s v="275"/>
    <x v="56"/>
  </r>
  <r>
    <s v="04/05/2024"/>
    <s v="Pontevedra"/>
    <x v="1"/>
    <s v="Piloto Junior 1"/>
    <n v="11.8"/>
    <s v="225"/>
    <x v="57"/>
  </r>
  <r>
    <s v="04/05/2024"/>
    <s v="Ourense"/>
    <x v="1"/>
    <s v="Piloto Junior 1"/>
    <n v="9.3699999999999992"/>
    <s v="225"/>
    <x v="58"/>
  </r>
  <r>
    <s v="04/10/2024"/>
    <s v="A Coruña"/>
    <x v="0"/>
    <s v="Piloto Senior 2"/>
    <n v="4.99"/>
    <s v="300"/>
    <x v="59"/>
  </r>
  <r>
    <s v="04/10/2024"/>
    <s v="Pontevedra"/>
    <x v="0"/>
    <s v="Piloto Senior 2"/>
    <n v="6.95"/>
    <s v="300"/>
    <x v="60"/>
  </r>
  <r>
    <s v="04/10/2024"/>
    <s v="Lugo"/>
    <x v="1"/>
    <s v="Piloto Junior 1"/>
    <n v="4.41"/>
    <s v="225"/>
    <x v="61"/>
  </r>
  <r>
    <s v="04/12/2024"/>
    <s v="Ourense"/>
    <x v="3"/>
    <s v="Piloto Junior 2"/>
    <n v="10.3"/>
    <s v="250"/>
    <x v="62"/>
  </r>
  <r>
    <s v="05/01/2024"/>
    <s v="A Coruña"/>
    <x v="0"/>
    <s v="Piloto Senior 2"/>
    <n v="14"/>
    <s v="300"/>
    <x v="63"/>
  </r>
  <r>
    <s v="05/01/2024"/>
    <s v="Ourense"/>
    <x v="0"/>
    <s v="Piloto Senior 2"/>
    <n v="8.51"/>
    <s v="300"/>
    <x v="64"/>
  </r>
  <r>
    <s v="05/01/2024"/>
    <s v="Ourense"/>
    <x v="1"/>
    <s v="Piloto Junior 1"/>
    <n v="15.27"/>
    <s v="225"/>
    <x v="65"/>
  </r>
  <r>
    <s v="05/02/2024"/>
    <s v="A Coruña"/>
    <x v="0"/>
    <s v="Piloto Senior 2"/>
    <n v="4.66"/>
    <s v="300"/>
    <x v="66"/>
  </r>
  <r>
    <s v="05/02/2024"/>
    <s v="A Coruña"/>
    <x v="1"/>
    <s v="Piloto Junior 1"/>
    <n v="9.6300000000000008"/>
    <s v="225"/>
    <x v="67"/>
  </r>
  <r>
    <s v="05/02/2024"/>
    <s v="A Coruña"/>
    <x v="1"/>
    <s v="Piloto Junior 1"/>
    <n v="6.53"/>
    <s v="225"/>
    <x v="68"/>
  </r>
  <r>
    <s v="05/02/2024"/>
    <s v="Pontevedra"/>
    <x v="0"/>
    <s v="Piloto Senior 2"/>
    <n v="14.04"/>
    <s v="300"/>
    <x v="69"/>
  </r>
  <r>
    <s v="05/04/2024"/>
    <s v="Pontevedra"/>
    <x v="0"/>
    <s v="Piloto Senior 2"/>
    <n v="14.19"/>
    <s v="300"/>
    <x v="70"/>
  </r>
  <r>
    <s v="05/05/2024"/>
    <s v="A Coruña"/>
    <x v="0"/>
    <s v="Piloto Senior 2"/>
    <n v="10.76"/>
    <s v="300"/>
    <x v="71"/>
  </r>
  <r>
    <s v="05/06/2024"/>
    <s v="Pontevedra"/>
    <x v="1"/>
    <s v="Piloto Junior 1"/>
    <n v="10.199999999999999"/>
    <s v="225"/>
    <x v="72"/>
  </r>
  <r>
    <s v="05/07/2024"/>
    <s v="Ourense"/>
    <x v="0"/>
    <s v="Piloto Senior 2"/>
    <n v="13.2"/>
    <s v="300"/>
    <x v="73"/>
  </r>
  <r>
    <s v="05/08/2024"/>
    <s v="Lugo"/>
    <x v="0"/>
    <s v="Piloto Senior 2"/>
    <n v="6.33"/>
    <s v="300"/>
    <x v="74"/>
  </r>
  <r>
    <s v="05/08/2024"/>
    <s v="Lugo"/>
    <x v="2"/>
    <s v="Piloto Senior 1"/>
    <n v="12.23"/>
    <s v="275"/>
    <x v="75"/>
  </r>
  <r>
    <s v="05/09/2024"/>
    <s v="Pontevedra"/>
    <x v="1"/>
    <s v="Piloto Junior 1"/>
    <n v="7.05"/>
    <s v="225"/>
    <x v="76"/>
  </r>
  <r>
    <s v="05/09/2024"/>
    <s v="Ourense"/>
    <x v="0"/>
    <s v="Piloto Senior 2"/>
    <n v="14.44"/>
    <s v="300"/>
    <x v="77"/>
  </r>
  <r>
    <s v="05/10/2024"/>
    <s v="A Coruña"/>
    <x v="3"/>
    <s v="Piloto Junior 2"/>
    <n v="7.04"/>
    <s v="250"/>
    <x v="78"/>
  </r>
  <r>
    <s v="05/10/2024"/>
    <s v="Pontevedra"/>
    <x v="2"/>
    <s v="Piloto Senior 1"/>
    <n v="15.98"/>
    <s v="275"/>
    <x v="79"/>
  </r>
  <r>
    <s v="05/10/2024"/>
    <s v="Lugo"/>
    <x v="3"/>
    <s v="Piloto Junior 2"/>
    <n v="15.62"/>
    <s v="250"/>
    <x v="80"/>
  </r>
  <r>
    <s v="05/11/2024"/>
    <s v="A Coruña"/>
    <x v="3"/>
    <s v="Piloto Junior 2"/>
    <n v="11.28"/>
    <s v="250"/>
    <x v="81"/>
  </r>
  <r>
    <s v="05/12/2024"/>
    <s v="A Coruña"/>
    <x v="1"/>
    <s v="Piloto Junior 1"/>
    <n v="11.2"/>
    <s v="225"/>
    <x v="82"/>
  </r>
  <r>
    <s v="05/12/2024"/>
    <s v="Lugo"/>
    <x v="2"/>
    <s v="Piloto Senior 1"/>
    <n v="11.34"/>
    <s v="275"/>
    <x v="83"/>
  </r>
  <r>
    <s v="06/02/2024"/>
    <s v="A Coruña"/>
    <x v="0"/>
    <s v="Piloto Senior 2"/>
    <n v="5.08"/>
    <s v="300"/>
    <x v="84"/>
  </r>
  <r>
    <s v="06/02/2024"/>
    <s v="A Coruña"/>
    <x v="2"/>
    <s v="Piloto Senior 1"/>
    <n v="9.68"/>
    <s v="275"/>
    <x v="85"/>
  </r>
  <r>
    <s v="06/02/2024"/>
    <s v="Ourense"/>
    <x v="0"/>
    <s v="Piloto Senior 2"/>
    <n v="8.48"/>
    <s v="300"/>
    <x v="86"/>
  </r>
  <r>
    <s v="06/03/2024"/>
    <s v="A Coruña"/>
    <x v="0"/>
    <s v="Piloto Senior 2"/>
    <n v="13.77"/>
    <s v="300"/>
    <x v="87"/>
  </r>
  <r>
    <s v="06/03/2024"/>
    <s v="Pontevedra"/>
    <x v="0"/>
    <s v="Piloto Senior 2"/>
    <n v="6.49"/>
    <s v="300"/>
    <x v="88"/>
  </r>
  <r>
    <s v="06/04/2024"/>
    <s v="A Coruña"/>
    <x v="0"/>
    <s v="Piloto Senior 2"/>
    <n v="4.34"/>
    <s v="300"/>
    <x v="89"/>
  </r>
  <r>
    <s v="06/04/2024"/>
    <s v="Pontevedra"/>
    <x v="2"/>
    <s v="Piloto Senior 1"/>
    <n v="15.11"/>
    <s v="275"/>
    <x v="90"/>
  </r>
  <r>
    <s v="06/05/2024"/>
    <s v="A Coruña"/>
    <x v="0"/>
    <s v="Piloto Senior 2"/>
    <n v="5.79"/>
    <s v="300"/>
    <x v="91"/>
  </r>
  <r>
    <s v="06/05/2024"/>
    <s v="Pontevedra"/>
    <x v="3"/>
    <s v="Piloto Junior 2"/>
    <n v="5.5"/>
    <s v="250"/>
    <x v="92"/>
  </r>
  <r>
    <s v="06/05/2024"/>
    <s v="Ourense"/>
    <x v="1"/>
    <s v="Piloto Junior 1"/>
    <n v="13.03"/>
    <s v="225"/>
    <x v="93"/>
  </r>
  <r>
    <s v="06/07/2024"/>
    <s v="A Coruña"/>
    <x v="1"/>
    <s v="Piloto Junior 1"/>
    <n v="15.76"/>
    <s v="225"/>
    <x v="94"/>
  </r>
  <r>
    <s v="06/09/2024"/>
    <s v="A Coruña"/>
    <x v="1"/>
    <s v="Piloto Junior 1"/>
    <n v="7.27"/>
    <s v="225"/>
    <x v="95"/>
  </r>
  <r>
    <s v="06/09/2024"/>
    <s v="Pontevedra"/>
    <x v="1"/>
    <s v="Piloto Junior 1"/>
    <n v="8.52"/>
    <s v="225"/>
    <x v="96"/>
  </r>
  <r>
    <s v="06/10/2024"/>
    <s v="Lugo"/>
    <x v="2"/>
    <s v="Piloto Senior 1"/>
    <n v="11.54"/>
    <s v="275"/>
    <x v="97"/>
  </r>
  <r>
    <s v="06/11/2024"/>
    <s v="Lugo"/>
    <x v="0"/>
    <s v="Piloto Senior 2"/>
    <n v="13.69"/>
    <s v="300"/>
    <x v="98"/>
  </r>
  <r>
    <s v="07/01/2024"/>
    <s v="Pontevedra"/>
    <x v="1"/>
    <s v="Piloto Junior 1"/>
    <n v="10.62"/>
    <s v="225"/>
    <x v="99"/>
  </r>
  <r>
    <s v="07/05/2024"/>
    <s v="Lugo"/>
    <x v="3"/>
    <s v="Piloto Junior 2"/>
    <n v="13.37"/>
    <s v="250"/>
    <x v="100"/>
  </r>
  <r>
    <s v="07/08/2024"/>
    <s v="Lugo"/>
    <x v="0"/>
    <s v="Piloto Senior 2"/>
    <n v="15.92"/>
    <s v="300"/>
    <x v="101"/>
  </r>
  <r>
    <s v="07/08/2024"/>
    <s v="Ourense"/>
    <x v="2"/>
    <s v="Piloto Senior 1"/>
    <n v="5.92"/>
    <s v="275"/>
    <x v="102"/>
  </r>
  <r>
    <s v="07/09/2024"/>
    <s v="A Coruña"/>
    <x v="2"/>
    <s v="Piloto Senior 1"/>
    <n v="8.4600000000000009"/>
    <s v="275"/>
    <x v="103"/>
  </r>
  <r>
    <s v="07/10/2024"/>
    <s v="A Coruña"/>
    <x v="0"/>
    <s v="Piloto Senior 2"/>
    <n v="5.15"/>
    <s v="300"/>
    <x v="104"/>
  </r>
  <r>
    <s v="07/11/2024"/>
    <s v="Pontevedra"/>
    <x v="0"/>
    <s v="Piloto Senior 2"/>
    <n v="4.54"/>
    <s v="300"/>
    <x v="105"/>
  </r>
  <r>
    <s v="07/11/2024"/>
    <s v="Lugo"/>
    <x v="1"/>
    <s v="Piloto Junior 1"/>
    <n v="6.83"/>
    <s v="225"/>
    <x v="106"/>
  </r>
  <r>
    <s v="08/02/2024"/>
    <s v="A Coruña"/>
    <x v="1"/>
    <s v="Piloto Junior 1"/>
    <n v="11.02"/>
    <s v="225"/>
    <x v="107"/>
  </r>
  <r>
    <s v="08/04/2024"/>
    <s v="A Coruña"/>
    <x v="0"/>
    <s v="Piloto Senior 2"/>
    <n v="8.67"/>
    <s v="300"/>
    <x v="108"/>
  </r>
  <r>
    <s v="08/04/2024"/>
    <s v="Pontevedra"/>
    <x v="0"/>
    <s v="Piloto Senior 2"/>
    <n v="4.1100000000000003"/>
    <s v="300"/>
    <x v="109"/>
  </r>
  <r>
    <s v="08/06/2024"/>
    <s v="A Coruña"/>
    <x v="1"/>
    <s v="Piloto Junior 1"/>
    <n v="15.62"/>
    <s v="225"/>
    <x v="110"/>
  </r>
  <r>
    <s v="08/07/2024"/>
    <s v="A Coruña"/>
    <x v="2"/>
    <s v="Piloto Senior 1"/>
    <n v="10.25"/>
    <s v="275"/>
    <x v="111"/>
  </r>
  <r>
    <s v="08/07/2024"/>
    <s v="A Coruña"/>
    <x v="1"/>
    <s v="Piloto Junior 1"/>
    <n v="15.48"/>
    <s v="225"/>
    <x v="112"/>
  </r>
  <r>
    <s v="08/08/2024"/>
    <s v="Lugo"/>
    <x v="2"/>
    <s v="Piloto Senior 1"/>
    <n v="10.37"/>
    <s v="275"/>
    <x v="113"/>
  </r>
  <r>
    <s v="08/08/2024"/>
    <s v="Ourense"/>
    <x v="3"/>
    <s v="Piloto Junior 2"/>
    <n v="7.17"/>
    <s v="250"/>
    <x v="114"/>
  </r>
  <r>
    <s v="08/08/2024"/>
    <s v="Ourense"/>
    <x v="0"/>
    <s v="Piloto Senior 2"/>
    <n v="14.13"/>
    <s v="300"/>
    <x v="115"/>
  </r>
  <r>
    <s v="08/09/2024"/>
    <s v="A Coruña"/>
    <x v="0"/>
    <s v="Piloto Senior 2"/>
    <n v="11.43"/>
    <s v="300"/>
    <x v="116"/>
  </r>
  <r>
    <s v="08/10/2024"/>
    <s v="A Coruña"/>
    <x v="2"/>
    <s v="Piloto Senior 1"/>
    <n v="14.33"/>
    <s v="275"/>
    <x v="117"/>
  </r>
  <r>
    <s v="08/11/2024"/>
    <s v="Pontevedra"/>
    <x v="0"/>
    <s v="Piloto Senior 2"/>
    <n v="14.67"/>
    <s v="300"/>
    <x v="118"/>
  </r>
  <r>
    <s v="08/11/2024"/>
    <s v="Ourense"/>
    <x v="1"/>
    <s v="Piloto Junior 1"/>
    <n v="6.37"/>
    <s v="225"/>
    <x v="119"/>
  </r>
  <r>
    <s v="08/12/2024"/>
    <s v="A Coruña"/>
    <x v="1"/>
    <s v="Piloto Junior 1"/>
    <n v="10.6"/>
    <s v="225"/>
    <x v="120"/>
  </r>
  <r>
    <s v="09/01/2024"/>
    <s v="Pontevedra"/>
    <x v="2"/>
    <s v="Piloto Senior 1"/>
    <n v="7.1"/>
    <s v="275"/>
    <x v="121"/>
  </r>
  <r>
    <s v="09/01/2024"/>
    <s v="Ourense"/>
    <x v="0"/>
    <s v="Piloto Senior 2"/>
    <n v="13.26"/>
    <s v="300"/>
    <x v="122"/>
  </r>
  <r>
    <s v="09/01/2024"/>
    <s v="Ourense"/>
    <x v="2"/>
    <s v="Piloto Senior 1"/>
    <n v="4.8600000000000003"/>
    <s v="275"/>
    <x v="123"/>
  </r>
  <r>
    <s v="09/02/2024"/>
    <s v="A Coruña"/>
    <x v="2"/>
    <s v="Piloto Senior 1"/>
    <n v="8.4"/>
    <s v="275"/>
    <x v="124"/>
  </r>
  <r>
    <s v="09/04/2024"/>
    <s v="A Coruña"/>
    <x v="0"/>
    <s v="Piloto Senior 2"/>
    <n v="5.23"/>
    <s v="300"/>
    <x v="125"/>
  </r>
  <r>
    <s v="09/04/2024"/>
    <s v="Ourense"/>
    <x v="1"/>
    <s v="Piloto Junior 1"/>
    <n v="4.96"/>
    <s v="225"/>
    <x v="126"/>
  </r>
  <r>
    <s v="09/05/2024"/>
    <s v="Lugo"/>
    <x v="1"/>
    <s v="Piloto Junior 1"/>
    <n v="5.22"/>
    <s v="225"/>
    <x v="127"/>
  </r>
  <r>
    <s v="09/05/2024"/>
    <s v="Ourense"/>
    <x v="3"/>
    <s v="Piloto Junior 2"/>
    <n v="9.7899999999999991"/>
    <s v="250"/>
    <x v="128"/>
  </r>
  <r>
    <s v="09/06/2024"/>
    <s v="A Coruña"/>
    <x v="0"/>
    <s v="Piloto Senior 2"/>
    <n v="6.62"/>
    <s v="300"/>
    <x v="129"/>
  </r>
  <r>
    <s v="09/07/2024"/>
    <s v="A Coruña"/>
    <x v="2"/>
    <s v="Piloto Senior 1"/>
    <n v="9.17"/>
    <s v="275"/>
    <x v="130"/>
  </r>
  <r>
    <s v="09/08/2024"/>
    <s v="Lugo"/>
    <x v="1"/>
    <s v="Piloto Junior 1"/>
    <n v="11.07"/>
    <s v="225"/>
    <x v="131"/>
  </r>
  <r>
    <s v="09/10/2024"/>
    <s v="A Coruña"/>
    <x v="0"/>
    <s v="Piloto Senior 2"/>
    <n v="11.34"/>
    <s v="300"/>
    <x v="132"/>
  </r>
  <r>
    <s v="09/10/2024"/>
    <s v="A Coruña"/>
    <x v="0"/>
    <s v="Piloto Senior 2"/>
    <n v="8.25"/>
    <s v="300"/>
    <x v="133"/>
  </r>
  <r>
    <s v="09/10/2024"/>
    <s v="Ourense"/>
    <x v="1"/>
    <s v="Piloto Junior 1"/>
    <n v="9.26"/>
    <s v="225"/>
    <x v="134"/>
  </r>
  <r>
    <s v="09/11/2024"/>
    <s v="A Coruña"/>
    <x v="0"/>
    <s v="Piloto Senior 2"/>
    <n v="12.3"/>
    <s v="300"/>
    <x v="135"/>
  </r>
  <r>
    <s v="09/11/2024"/>
    <s v="Ourense"/>
    <x v="0"/>
    <s v="Piloto Senior 2"/>
    <n v="5.6"/>
    <s v="300"/>
    <x v="136"/>
  </r>
  <r>
    <s v="09/12/2024"/>
    <s v="Ourense"/>
    <x v="1"/>
    <s v="Piloto Junior 1"/>
    <n v="9.92"/>
    <s v="225"/>
    <x v="137"/>
  </r>
  <r>
    <s v="10/02/2024"/>
    <s v="Pontevedra"/>
    <x v="1"/>
    <s v="Piloto Junior 1"/>
    <n v="11"/>
    <s v="225"/>
    <x v="133"/>
  </r>
  <r>
    <s v="10/04/2024"/>
    <s v="Pontevedra"/>
    <x v="0"/>
    <s v="Piloto Senior 2"/>
    <n v="6.99"/>
    <s v="300"/>
    <x v="138"/>
  </r>
  <r>
    <s v="10/05/2024"/>
    <s v="A Coruña"/>
    <x v="0"/>
    <s v="Piloto Senior 2"/>
    <n v="4.99"/>
    <s v="300"/>
    <x v="59"/>
  </r>
  <r>
    <s v="10/05/2024"/>
    <s v="A Coruña"/>
    <x v="2"/>
    <s v="Piloto Senior 1"/>
    <n v="15.32"/>
    <s v="275"/>
    <x v="139"/>
  </r>
  <r>
    <s v="10/05/2024"/>
    <s v="A Coruña"/>
    <x v="1"/>
    <s v="Piloto Junior 1"/>
    <n v="6.21"/>
    <s v="225"/>
    <x v="140"/>
  </r>
  <r>
    <s v="10/06/2024"/>
    <s v="Pontevedra"/>
    <x v="2"/>
    <s v="Piloto Senior 1"/>
    <n v="10.34"/>
    <s v="275"/>
    <x v="141"/>
  </r>
  <r>
    <s v="10/06/2024"/>
    <s v="Pontevedra"/>
    <x v="0"/>
    <s v="Piloto Senior 2"/>
    <n v="4.21"/>
    <s v="300"/>
    <x v="142"/>
  </r>
  <r>
    <s v="10/07/2024"/>
    <s v="A Coruña"/>
    <x v="0"/>
    <s v="Piloto Senior 2"/>
    <n v="8.01"/>
    <s v="300"/>
    <x v="143"/>
  </r>
  <r>
    <s v="10/07/2024"/>
    <s v="Lugo"/>
    <x v="2"/>
    <s v="Piloto Senior 1"/>
    <n v="13.99"/>
    <s v="275"/>
    <x v="144"/>
  </r>
  <r>
    <s v="10/08/2024"/>
    <s v="A Coruña"/>
    <x v="1"/>
    <s v="Piloto Junior 1"/>
    <n v="12.24"/>
    <s v="225"/>
    <x v="145"/>
  </r>
  <r>
    <s v="10/09/2024"/>
    <s v="A Coruña"/>
    <x v="1"/>
    <s v="Piloto Junior 1"/>
    <n v="13.44"/>
    <s v="225"/>
    <x v="146"/>
  </r>
  <r>
    <s v="10/09/2024"/>
    <s v="Lugo"/>
    <x v="0"/>
    <s v="Piloto Senior 2"/>
    <n v="13.89"/>
    <s v="300"/>
    <x v="147"/>
  </r>
  <r>
    <s v="10/10/2024"/>
    <s v="Lugo"/>
    <x v="0"/>
    <s v="Piloto Senior 2"/>
    <n v="9.58"/>
    <s v="300"/>
    <x v="148"/>
  </r>
  <r>
    <s v="11/01/2024"/>
    <s v="A Coruña"/>
    <x v="0"/>
    <s v="Piloto Senior 2"/>
    <n v="13.84"/>
    <s v="300"/>
    <x v="149"/>
  </r>
  <r>
    <s v="11/01/2024"/>
    <s v="A Coruña"/>
    <x v="1"/>
    <s v="Piloto Junior 1"/>
    <n v="14.95"/>
    <s v="225"/>
    <x v="150"/>
  </r>
  <r>
    <s v="11/02/2024"/>
    <s v="A Coruña"/>
    <x v="1"/>
    <s v="Piloto Junior 1"/>
    <n v="5.77"/>
    <s v="225"/>
    <x v="151"/>
  </r>
  <r>
    <s v="11/02/2024"/>
    <s v="Lugo"/>
    <x v="0"/>
    <s v="Piloto Senior 2"/>
    <n v="8.26"/>
    <s v="300"/>
    <x v="152"/>
  </r>
  <r>
    <s v="11/02/2024"/>
    <s v="Lugo"/>
    <x v="2"/>
    <s v="Piloto Senior 1"/>
    <n v="13.14"/>
    <s v="275"/>
    <x v="153"/>
  </r>
  <r>
    <s v="11/02/2024"/>
    <s v="Ourense"/>
    <x v="3"/>
    <s v="Piloto Junior 2"/>
    <n v="7.37"/>
    <s v="250"/>
    <x v="154"/>
  </r>
  <r>
    <s v="11/03/2024"/>
    <s v="A Coruña"/>
    <x v="2"/>
    <s v="Piloto Senior 1"/>
    <n v="15.97"/>
    <s v="275"/>
    <x v="155"/>
  </r>
  <r>
    <s v="11/03/2024"/>
    <s v="Pontevedra"/>
    <x v="1"/>
    <s v="Piloto Junior 1"/>
    <n v="8.89"/>
    <s v="225"/>
    <x v="156"/>
  </r>
  <r>
    <s v="11/03/2024"/>
    <s v="Lugo"/>
    <x v="3"/>
    <s v="Piloto Junior 2"/>
    <n v="10.8"/>
    <s v="250"/>
    <x v="50"/>
  </r>
  <r>
    <s v="11/04/2024"/>
    <s v="Pontevedra"/>
    <x v="1"/>
    <s v="Piloto Junior 1"/>
    <n v="5.13"/>
    <s v="225"/>
    <x v="157"/>
  </r>
  <r>
    <s v="11/04/2024"/>
    <s v="Ourense"/>
    <x v="3"/>
    <s v="Piloto Junior 2"/>
    <n v="14.01"/>
    <s v="250"/>
    <x v="158"/>
  </r>
  <r>
    <s v="11/05/2024"/>
    <s v="Pontevedra"/>
    <x v="1"/>
    <s v="Piloto Junior 1"/>
    <n v="12.24"/>
    <s v="225"/>
    <x v="145"/>
  </r>
  <r>
    <s v="11/06/2024"/>
    <s v="Lugo"/>
    <x v="3"/>
    <s v="Piloto Junior 2"/>
    <n v="5.98"/>
    <s v="250"/>
    <x v="159"/>
  </r>
  <r>
    <s v="11/06/2024"/>
    <s v="Ourense"/>
    <x v="2"/>
    <s v="Piloto Senior 1"/>
    <n v="14.36"/>
    <s v="275"/>
    <x v="160"/>
  </r>
  <r>
    <s v="11/08/2024"/>
    <s v="Lugo"/>
    <x v="0"/>
    <s v="Piloto Senior 2"/>
    <n v="13.86"/>
    <s v="300"/>
    <x v="161"/>
  </r>
  <r>
    <s v="11/11/2024"/>
    <s v="A Coruña"/>
    <x v="1"/>
    <s v="Piloto Junior 1"/>
    <n v="12.34"/>
    <s v="225"/>
    <x v="162"/>
  </r>
  <r>
    <s v="11/11/2024"/>
    <s v="A Coruña"/>
    <x v="0"/>
    <s v="Piloto Senior 2"/>
    <n v="15.95"/>
    <s v="300"/>
    <x v="163"/>
  </r>
  <r>
    <s v="11/11/2024"/>
    <s v="Lugo"/>
    <x v="0"/>
    <s v="Piloto Senior 2"/>
    <n v="10.54"/>
    <s v="300"/>
    <x v="23"/>
  </r>
  <r>
    <s v="11/11/2024"/>
    <s v="Ourense"/>
    <x v="2"/>
    <s v="Piloto Senior 1"/>
    <n v="14.84"/>
    <s v="275"/>
    <x v="164"/>
  </r>
  <r>
    <s v="12/01/2024"/>
    <s v="Pontevedra"/>
    <x v="0"/>
    <s v="Piloto Senior 2"/>
    <n v="13.23"/>
    <s v="300"/>
    <x v="165"/>
  </r>
  <r>
    <s v="12/02/2024"/>
    <s v="Ourense"/>
    <x v="0"/>
    <s v="Piloto Senior 2"/>
    <n v="12.9"/>
    <s v="300"/>
    <x v="166"/>
  </r>
  <r>
    <s v="12/03/2024"/>
    <s v="A Coruña"/>
    <x v="0"/>
    <s v="Piloto Senior 2"/>
    <n v="11.19"/>
    <s v="300"/>
    <x v="167"/>
  </r>
  <r>
    <s v="12/03/2024"/>
    <s v="Pontevedra"/>
    <x v="0"/>
    <s v="Piloto Senior 2"/>
    <n v="12.85"/>
    <s v="300"/>
    <x v="168"/>
  </r>
  <r>
    <s v="12/04/2024"/>
    <s v="A Coruña"/>
    <x v="0"/>
    <s v="Piloto Senior 2"/>
    <n v="12.1"/>
    <s v="300"/>
    <x v="169"/>
  </r>
  <r>
    <s v="12/06/2024"/>
    <s v="A Coruña"/>
    <x v="3"/>
    <s v="Piloto Junior 2"/>
    <n v="9.75"/>
    <s v="250"/>
    <x v="170"/>
  </r>
  <r>
    <s v="12/06/2024"/>
    <s v="A Coruña"/>
    <x v="1"/>
    <s v="Piloto Junior 1"/>
    <n v="9.42"/>
    <s v="225"/>
    <x v="171"/>
  </r>
  <r>
    <s v="12/06/2024"/>
    <s v="Pontevedra"/>
    <x v="0"/>
    <s v="Piloto Senior 2"/>
    <n v="7.13"/>
    <s v="300"/>
    <x v="172"/>
  </r>
  <r>
    <s v="12/06/2024"/>
    <s v="Pontevedra"/>
    <x v="2"/>
    <s v="Piloto Senior 1"/>
    <n v="12.48"/>
    <s v="275"/>
    <x v="173"/>
  </r>
  <r>
    <s v="12/07/2024"/>
    <s v="A Coruña"/>
    <x v="1"/>
    <s v="Piloto Junior 1"/>
    <n v="6.51"/>
    <s v="225"/>
    <x v="174"/>
  </r>
  <r>
    <s v="12/08/2024"/>
    <s v="A Coruña"/>
    <x v="2"/>
    <s v="Piloto Senior 1"/>
    <n v="5.08"/>
    <s v="275"/>
    <x v="175"/>
  </r>
  <r>
    <s v="12/08/2024"/>
    <s v="A Coruña"/>
    <x v="1"/>
    <s v="Piloto Junior 1"/>
    <n v="11.8"/>
    <s v="225"/>
    <x v="57"/>
  </r>
  <r>
    <s v="12/09/2024"/>
    <s v="A Coruña"/>
    <x v="2"/>
    <s v="Piloto Senior 1"/>
    <n v="12.2"/>
    <s v="275"/>
    <x v="176"/>
  </r>
  <r>
    <s v="12/09/2024"/>
    <s v="Lugo"/>
    <x v="2"/>
    <s v="Piloto Senior 1"/>
    <n v="12.52"/>
    <s v="275"/>
    <x v="177"/>
  </r>
  <r>
    <s v="12/12/2024"/>
    <s v="A Coruña"/>
    <x v="2"/>
    <s v="Piloto Senior 1"/>
    <n v="4.84"/>
    <s v="275"/>
    <x v="178"/>
  </r>
  <r>
    <s v="13/01/2024"/>
    <s v="Pontevedra"/>
    <x v="1"/>
    <s v="Piloto Junior 1"/>
    <n v="12.15"/>
    <s v="225"/>
    <x v="179"/>
  </r>
  <r>
    <s v="13/02/2024"/>
    <s v="Pontevedra"/>
    <x v="0"/>
    <s v="Piloto Senior 2"/>
    <n v="4.8899999999999997"/>
    <s v="300"/>
    <x v="180"/>
  </r>
  <r>
    <s v="13/02/2024"/>
    <s v="Lugo"/>
    <x v="1"/>
    <s v="Piloto Junior 1"/>
    <n v="7.69"/>
    <s v="225"/>
    <x v="181"/>
  </r>
  <r>
    <s v="13/03/2024"/>
    <s v="Ourense"/>
    <x v="2"/>
    <s v="Piloto Senior 1"/>
    <n v="10.6"/>
    <s v="275"/>
    <x v="182"/>
  </r>
  <r>
    <s v="13/04/2024"/>
    <s v="A Coruña"/>
    <x v="1"/>
    <s v="Piloto Junior 1"/>
    <n v="15.26"/>
    <s v="225"/>
    <x v="183"/>
  </r>
  <r>
    <s v="13/04/2024"/>
    <s v="A Coruña"/>
    <x v="2"/>
    <s v="Piloto Senior 1"/>
    <n v="4.37"/>
    <s v="275"/>
    <x v="184"/>
  </r>
  <r>
    <s v="13/04/2024"/>
    <s v="Pontevedra"/>
    <x v="3"/>
    <s v="Piloto Junior 2"/>
    <n v="5.12"/>
    <s v="250"/>
    <x v="185"/>
  </r>
  <r>
    <s v="13/05/2024"/>
    <s v="A Coruña"/>
    <x v="3"/>
    <s v="Piloto Junior 2"/>
    <n v="11.59"/>
    <s v="250"/>
    <x v="186"/>
  </r>
  <r>
    <s v="13/06/2024"/>
    <s v="Lugo"/>
    <x v="1"/>
    <s v="Piloto Junior 1"/>
    <n v="12.57"/>
    <s v="225"/>
    <x v="187"/>
  </r>
  <r>
    <s v="13/07/2024"/>
    <s v="Pontevedra"/>
    <x v="1"/>
    <s v="Piloto Junior 1"/>
    <n v="12.3"/>
    <s v="225"/>
    <x v="188"/>
  </r>
  <r>
    <s v="13/07/2024"/>
    <s v="Ourense"/>
    <x v="2"/>
    <s v="Piloto Senior 1"/>
    <n v="7.99"/>
    <s v="275"/>
    <x v="189"/>
  </r>
  <r>
    <s v="13/07/2024"/>
    <s v="Ourense"/>
    <x v="1"/>
    <s v="Piloto Junior 1"/>
    <n v="10.32"/>
    <s v="225"/>
    <x v="190"/>
  </r>
  <r>
    <s v="13/08/2024"/>
    <s v="Lugo"/>
    <x v="0"/>
    <s v="Piloto Senior 2"/>
    <n v="13.11"/>
    <s v="300"/>
    <x v="191"/>
  </r>
  <r>
    <s v="13/08/2024"/>
    <s v="Lugo"/>
    <x v="0"/>
    <s v="Piloto Senior 2"/>
    <n v="15.41"/>
    <s v="300"/>
    <x v="192"/>
  </r>
  <r>
    <s v="13/09/2024"/>
    <s v="A Coruña"/>
    <x v="0"/>
    <s v="Piloto Senior 2"/>
    <n v="7.85"/>
    <s v="300"/>
    <x v="193"/>
  </r>
  <r>
    <s v="13/09/2024"/>
    <s v="Pontevedra"/>
    <x v="0"/>
    <s v="Piloto Senior 2"/>
    <n v="11.76"/>
    <s v="300"/>
    <x v="194"/>
  </r>
  <r>
    <s v="13/10/2024"/>
    <s v="A Coruña"/>
    <x v="3"/>
    <s v="Piloto Junior 2"/>
    <n v="13.12"/>
    <s v="250"/>
    <x v="195"/>
  </r>
  <r>
    <s v="13/10/2024"/>
    <s v="Lugo"/>
    <x v="2"/>
    <s v="Piloto Senior 1"/>
    <n v="15.1"/>
    <s v="275"/>
    <x v="196"/>
  </r>
  <r>
    <s v="13/11/2024"/>
    <s v="A Coruña"/>
    <x v="0"/>
    <s v="Piloto Senior 2"/>
    <n v="11.54"/>
    <s v="300"/>
    <x v="197"/>
  </r>
  <r>
    <s v="13/12/2024"/>
    <s v="A Coruña"/>
    <x v="3"/>
    <s v="Piloto Junior 2"/>
    <n v="15.93"/>
    <s v="250"/>
    <x v="198"/>
  </r>
  <r>
    <s v="13/12/2024"/>
    <s v="Pontevedra"/>
    <x v="2"/>
    <s v="Piloto Senior 1"/>
    <n v="8.5"/>
    <s v="275"/>
    <x v="199"/>
  </r>
  <r>
    <s v="13/12/2024"/>
    <s v="Lugo"/>
    <x v="1"/>
    <s v="Piloto Junior 1"/>
    <n v="14.04"/>
    <s v="225"/>
    <x v="200"/>
  </r>
  <r>
    <s v="14/01/2024"/>
    <s v="Lugo"/>
    <x v="2"/>
    <s v="Piloto Senior 1"/>
    <n v="12.71"/>
    <s v="275"/>
    <x v="201"/>
  </r>
  <r>
    <s v="14/01/2024"/>
    <s v="Ourense"/>
    <x v="0"/>
    <s v="Piloto Senior 2"/>
    <n v="4.18"/>
    <s v="300"/>
    <x v="202"/>
  </r>
  <r>
    <s v="14/01/2024"/>
    <s v="Ourense"/>
    <x v="1"/>
    <s v="Piloto Junior 1"/>
    <n v="5.34"/>
    <s v="225"/>
    <x v="203"/>
  </r>
  <r>
    <s v="14/03/2024"/>
    <s v="Ourense"/>
    <x v="1"/>
    <s v="Piloto Junior 1"/>
    <n v="15.74"/>
    <s v="225"/>
    <x v="204"/>
  </r>
  <r>
    <s v="14/04/2024"/>
    <s v="A Coruña"/>
    <x v="0"/>
    <s v="Piloto Senior 2"/>
    <n v="5.74"/>
    <s v="300"/>
    <x v="205"/>
  </r>
  <r>
    <s v="14/04/2024"/>
    <s v="Pontevedra"/>
    <x v="3"/>
    <s v="Piloto Junior 2"/>
    <n v="7.53"/>
    <s v="250"/>
    <x v="206"/>
  </r>
  <r>
    <s v="14/05/2024"/>
    <s v="Pontevedra"/>
    <x v="0"/>
    <s v="Piloto Senior 2"/>
    <n v="12.43"/>
    <s v="300"/>
    <x v="207"/>
  </r>
  <r>
    <s v="14/05/2024"/>
    <s v="Pontevedra"/>
    <x v="0"/>
    <s v="Piloto Senior 2"/>
    <n v="6.03"/>
    <s v="300"/>
    <x v="208"/>
  </r>
  <r>
    <s v="14/05/2024"/>
    <s v="Pontevedra"/>
    <x v="0"/>
    <s v="Piloto Senior 2"/>
    <n v="10.6"/>
    <s v="300"/>
    <x v="209"/>
  </r>
  <r>
    <s v="14/05/2024"/>
    <s v="Lugo"/>
    <x v="1"/>
    <s v="Piloto Junior 1"/>
    <n v="15.71"/>
    <s v="225"/>
    <x v="210"/>
  </r>
  <r>
    <s v="14/06/2024"/>
    <s v="Pontevedra"/>
    <x v="0"/>
    <s v="Piloto Senior 2"/>
    <n v="5.4"/>
    <s v="300"/>
    <x v="211"/>
  </r>
  <r>
    <s v="14/06/2024"/>
    <s v="Lugo"/>
    <x v="0"/>
    <s v="Piloto Senior 2"/>
    <n v="6.5"/>
    <s v="300"/>
    <x v="212"/>
  </r>
  <r>
    <s v="14/07/2024"/>
    <s v="Pontevedra"/>
    <x v="2"/>
    <s v="Piloto Senior 1"/>
    <n v="11.96"/>
    <s v="275"/>
    <x v="213"/>
  </r>
  <r>
    <s v="14/07/2024"/>
    <s v="Lugo"/>
    <x v="0"/>
    <s v="Piloto Senior 2"/>
    <n v="11.22"/>
    <s v="300"/>
    <x v="214"/>
  </r>
  <r>
    <s v="14/10/2024"/>
    <s v="A Coruña"/>
    <x v="1"/>
    <s v="Piloto Junior 1"/>
    <n v="5.97"/>
    <s v="225"/>
    <x v="215"/>
  </r>
  <r>
    <s v="14/11/2024"/>
    <s v="A Coruña"/>
    <x v="0"/>
    <s v="Piloto Senior 2"/>
    <n v="10.130000000000001"/>
    <s v="300"/>
    <x v="216"/>
  </r>
  <r>
    <s v="14/11/2024"/>
    <s v="Lugo"/>
    <x v="0"/>
    <s v="Piloto Senior 2"/>
    <n v="11.03"/>
    <s v="300"/>
    <x v="217"/>
  </r>
  <r>
    <s v="14/11/2024"/>
    <s v="Lugo"/>
    <x v="0"/>
    <s v="Piloto Senior 2"/>
    <n v="15.23"/>
    <s v="300"/>
    <x v="218"/>
  </r>
  <r>
    <s v="14/12/2024"/>
    <s v="A Coruña"/>
    <x v="2"/>
    <s v="Piloto Senior 1"/>
    <n v="12.77"/>
    <s v="275"/>
    <x v="219"/>
  </r>
  <r>
    <s v="15/01/2024"/>
    <s v="Lugo"/>
    <x v="0"/>
    <s v="Piloto Senior 2"/>
    <n v="15.61"/>
    <s v="300"/>
    <x v="220"/>
  </r>
  <r>
    <s v="15/01/2024"/>
    <s v="Ourense"/>
    <x v="1"/>
    <s v="Piloto Junior 1"/>
    <n v="12.94"/>
    <s v="225"/>
    <x v="221"/>
  </r>
  <r>
    <s v="15/02/2024"/>
    <s v="Lugo"/>
    <x v="3"/>
    <s v="Piloto Junior 2"/>
    <n v="12.1"/>
    <s v="250"/>
    <x v="222"/>
  </r>
  <r>
    <s v="15/04/2024"/>
    <s v="Ourense"/>
    <x v="2"/>
    <s v="Piloto Senior 1"/>
    <n v="15.72"/>
    <s v="275"/>
    <x v="223"/>
  </r>
  <r>
    <s v="15/04/2024"/>
    <s v="Ourense"/>
    <x v="1"/>
    <s v="Piloto Junior 1"/>
    <n v="8.0399999999999991"/>
    <s v="225"/>
    <x v="224"/>
  </r>
  <r>
    <s v="15/05/2024"/>
    <s v="Lugo"/>
    <x v="3"/>
    <s v="Piloto Junior 2"/>
    <n v="13.96"/>
    <s v="250"/>
    <x v="225"/>
  </r>
  <r>
    <s v="15/06/2024"/>
    <s v="Pontevedra"/>
    <x v="0"/>
    <s v="Piloto Senior 2"/>
    <n v="10.7"/>
    <s v="300"/>
    <x v="226"/>
  </r>
  <r>
    <s v="15/06/2024"/>
    <s v="Pontevedra"/>
    <x v="2"/>
    <s v="Piloto Senior 1"/>
    <n v="7.35"/>
    <s v="275"/>
    <x v="227"/>
  </r>
  <r>
    <s v="15/07/2024"/>
    <s v="A Coruña"/>
    <x v="2"/>
    <s v="Piloto Senior 1"/>
    <n v="9.4"/>
    <s v="275"/>
    <x v="228"/>
  </r>
  <r>
    <s v="15/08/2024"/>
    <s v="Pontevedra"/>
    <x v="2"/>
    <s v="Piloto Senior 1"/>
    <n v="4.78"/>
    <s v="275"/>
    <x v="229"/>
  </r>
  <r>
    <s v="15/08/2024"/>
    <s v="Ourense"/>
    <x v="0"/>
    <s v="Piloto Senior 2"/>
    <n v="6.38"/>
    <s v="300"/>
    <x v="230"/>
  </r>
  <r>
    <s v="15/09/2024"/>
    <s v="Lugo"/>
    <x v="0"/>
    <s v="Piloto Senior 2"/>
    <n v="14.57"/>
    <s v="300"/>
    <x v="231"/>
  </r>
  <r>
    <s v="15/10/2024"/>
    <s v="A Coruña"/>
    <x v="0"/>
    <s v="Piloto Senior 2"/>
    <n v="4.43"/>
    <s v="300"/>
    <x v="232"/>
  </r>
  <r>
    <s v="15/10/2024"/>
    <s v="A Coruña"/>
    <x v="3"/>
    <s v="Piloto Junior 2"/>
    <n v="9.66"/>
    <s v="250"/>
    <x v="233"/>
  </r>
  <r>
    <s v="15/10/2024"/>
    <s v="A Coruña"/>
    <x v="1"/>
    <s v="Piloto Junior 1"/>
    <n v="9.91"/>
    <s v="225"/>
    <x v="234"/>
  </r>
  <r>
    <s v="15/12/2024"/>
    <s v="A Coruña"/>
    <x v="1"/>
    <s v="Piloto Junior 1"/>
    <n v="12.76"/>
    <s v="225"/>
    <x v="235"/>
  </r>
  <r>
    <s v="15/12/2024"/>
    <s v="A Coruña"/>
    <x v="2"/>
    <s v="Piloto Senior 1"/>
    <n v="15.95"/>
    <s v="275"/>
    <x v="236"/>
  </r>
  <r>
    <s v="15/12/2024"/>
    <s v="Pontevedra"/>
    <x v="2"/>
    <s v="Piloto Senior 1"/>
    <n v="15.69"/>
    <s v="275"/>
    <x v="237"/>
  </r>
  <r>
    <s v="16/02/2024"/>
    <s v="Lugo"/>
    <x v="3"/>
    <s v="Piloto Junior 2"/>
    <n v="8.42"/>
    <s v="250"/>
    <x v="238"/>
  </r>
  <r>
    <s v="16/04/2024"/>
    <s v="Lugo"/>
    <x v="1"/>
    <s v="Piloto Junior 1"/>
    <n v="14.95"/>
    <s v="225"/>
    <x v="150"/>
  </r>
  <r>
    <s v="16/04/2024"/>
    <s v="Lugo"/>
    <x v="2"/>
    <s v="Piloto Senior 1"/>
    <n v="8.7200000000000006"/>
    <s v="275"/>
    <x v="239"/>
  </r>
  <r>
    <s v="16/05/2024"/>
    <s v="Ourense"/>
    <x v="3"/>
    <s v="Piloto Junior 2"/>
    <n v="11.01"/>
    <s v="250"/>
    <x v="240"/>
  </r>
  <r>
    <s v="16/06/2024"/>
    <s v="Lugo"/>
    <x v="3"/>
    <s v="Piloto Junior 2"/>
    <n v="15.51"/>
    <s v="250"/>
    <x v="241"/>
  </r>
  <r>
    <s v="16/08/2024"/>
    <s v="A Coruña"/>
    <x v="1"/>
    <s v="Piloto Junior 1"/>
    <n v="14.5"/>
    <s v="225"/>
    <x v="242"/>
  </r>
  <r>
    <s v="16/08/2024"/>
    <s v="Pontevedra"/>
    <x v="1"/>
    <s v="Piloto Junior 1"/>
    <n v="12.68"/>
    <s v="225"/>
    <x v="243"/>
  </r>
  <r>
    <s v="16/08/2024"/>
    <s v="Ourense"/>
    <x v="2"/>
    <s v="Piloto Senior 1"/>
    <n v="14.36"/>
    <s v="275"/>
    <x v="160"/>
  </r>
  <r>
    <s v="16/09/2024"/>
    <s v="A Coruña"/>
    <x v="1"/>
    <s v="Piloto Junior 1"/>
    <n v="12.68"/>
    <s v="225"/>
    <x v="243"/>
  </r>
  <r>
    <s v="16/09/2024"/>
    <s v="Ourense"/>
    <x v="2"/>
    <s v="Piloto Senior 1"/>
    <n v="11.99"/>
    <s v="275"/>
    <x v="244"/>
  </r>
  <r>
    <s v="16/11/2024"/>
    <s v="A Coruña"/>
    <x v="0"/>
    <s v="Piloto Senior 2"/>
    <n v="4.74"/>
    <s v="300"/>
    <x v="245"/>
  </r>
  <r>
    <s v="16/11/2024"/>
    <s v="Pontevedra"/>
    <x v="0"/>
    <s v="Piloto Senior 2"/>
    <n v="13.95"/>
    <s v="300"/>
    <x v="246"/>
  </r>
  <r>
    <s v="16/11/2024"/>
    <s v="Pontevedra"/>
    <x v="0"/>
    <s v="Piloto Senior 2"/>
    <n v="10.01"/>
    <s v="300"/>
    <x v="247"/>
  </r>
  <r>
    <s v="16/11/2024"/>
    <s v="Ourense"/>
    <x v="0"/>
    <s v="Piloto Senior 2"/>
    <n v="7.01"/>
    <s v="300"/>
    <x v="248"/>
  </r>
  <r>
    <s v="17/02/2024"/>
    <s v="A Coruña"/>
    <x v="2"/>
    <s v="Piloto Senior 1"/>
    <n v="15.88"/>
    <s v="275"/>
    <x v="249"/>
  </r>
  <r>
    <s v="17/04/2024"/>
    <s v="A Coruña"/>
    <x v="0"/>
    <s v="Piloto Senior 2"/>
    <n v="15.78"/>
    <s v="300"/>
    <x v="250"/>
  </r>
  <r>
    <s v="17/04/2024"/>
    <s v="Lugo"/>
    <x v="1"/>
    <s v="Piloto Junior 1"/>
    <n v="9.8800000000000008"/>
    <s v="225"/>
    <x v="251"/>
  </r>
  <r>
    <s v="17/05/2024"/>
    <s v="Lugo"/>
    <x v="0"/>
    <s v="Piloto Senior 2"/>
    <n v="4.1500000000000004"/>
    <s v="300"/>
    <x v="252"/>
  </r>
  <r>
    <s v="17/06/2024"/>
    <s v="A Coruña"/>
    <x v="0"/>
    <s v="Piloto Senior 2"/>
    <n v="14.77"/>
    <s v="300"/>
    <x v="253"/>
  </r>
  <r>
    <s v="17/06/2024"/>
    <s v="Pontevedra"/>
    <x v="0"/>
    <s v="Piloto Senior 2"/>
    <n v="15.76"/>
    <s v="300"/>
    <x v="254"/>
  </r>
  <r>
    <s v="17/07/2024"/>
    <s v="Lugo"/>
    <x v="1"/>
    <s v="Piloto Junior 1"/>
    <n v="11.83"/>
    <s v="225"/>
    <x v="255"/>
  </r>
  <r>
    <s v="17/08/2024"/>
    <s v="A Coruña"/>
    <x v="3"/>
    <s v="Piloto Junior 2"/>
    <n v="7.76"/>
    <s v="250"/>
    <x v="256"/>
  </r>
  <r>
    <s v="17/08/2024"/>
    <s v="Pontevedra"/>
    <x v="3"/>
    <s v="Piloto Junior 2"/>
    <n v="6.6"/>
    <s v="250"/>
    <x v="257"/>
  </r>
  <r>
    <s v="17/09/2024"/>
    <s v="A Coruña"/>
    <x v="2"/>
    <s v="Piloto Senior 1"/>
    <n v="7.65"/>
    <s v="275"/>
    <x v="258"/>
  </r>
  <r>
    <s v="17/09/2024"/>
    <s v="Pontevedra"/>
    <x v="0"/>
    <s v="Piloto Senior 2"/>
    <n v="6.7"/>
    <s v="300"/>
    <x v="259"/>
  </r>
  <r>
    <s v="17/10/2024"/>
    <s v="Ourense"/>
    <x v="1"/>
    <s v="Piloto Junior 1"/>
    <n v="7.64"/>
    <s v="225"/>
    <x v="260"/>
  </r>
  <r>
    <s v="18/01/2024"/>
    <s v="A Coruña"/>
    <x v="3"/>
    <s v="Piloto Junior 2"/>
    <n v="5.74"/>
    <s v="250"/>
    <x v="261"/>
  </r>
  <r>
    <s v="18/01/2024"/>
    <s v="Pontevedra"/>
    <x v="2"/>
    <s v="Piloto Senior 1"/>
    <n v="12.27"/>
    <s v="275"/>
    <x v="262"/>
  </r>
  <r>
    <s v="18/01/2024"/>
    <s v="Lugo"/>
    <x v="0"/>
    <s v="Piloto Senior 2"/>
    <n v="7.96"/>
    <s v="300"/>
    <x v="263"/>
  </r>
  <r>
    <s v="18/02/2024"/>
    <s v="A Coruña"/>
    <x v="0"/>
    <s v="Piloto Senior 2"/>
    <n v="12.25"/>
    <s v="300"/>
    <x v="264"/>
  </r>
  <r>
    <s v="18/02/2024"/>
    <s v="A Coruña"/>
    <x v="0"/>
    <s v="Piloto Senior 2"/>
    <n v="14.9"/>
    <s v="300"/>
    <x v="265"/>
  </r>
  <r>
    <s v="18/02/2024"/>
    <s v="Pontevedra"/>
    <x v="1"/>
    <s v="Piloto Junior 1"/>
    <n v="9.9499999999999993"/>
    <s v="225"/>
    <x v="266"/>
  </r>
  <r>
    <s v="18/02/2024"/>
    <s v="Ourense"/>
    <x v="1"/>
    <s v="Piloto Junior 1"/>
    <n v="6.77"/>
    <s v="225"/>
    <x v="267"/>
  </r>
  <r>
    <s v="18/03/2024"/>
    <s v="A Coruña"/>
    <x v="0"/>
    <s v="Piloto Senior 2"/>
    <n v="11.1"/>
    <s v="300"/>
    <x v="268"/>
  </r>
  <r>
    <s v="18/03/2024"/>
    <s v="A Coruña"/>
    <x v="1"/>
    <s v="Piloto Junior 1"/>
    <n v="15.44"/>
    <s v="225"/>
    <x v="269"/>
  </r>
  <r>
    <s v="18/03/2024"/>
    <s v="Ourense"/>
    <x v="1"/>
    <s v="Piloto Junior 1"/>
    <n v="13.6"/>
    <s v="225"/>
    <x v="270"/>
  </r>
  <r>
    <s v="18/04/2024"/>
    <s v="A Coruña"/>
    <x v="2"/>
    <s v="Piloto Senior 1"/>
    <n v="10.199999999999999"/>
    <s v="275"/>
    <x v="271"/>
  </r>
  <r>
    <s v="18/04/2024"/>
    <s v="Ourense"/>
    <x v="0"/>
    <s v="Piloto Senior 2"/>
    <n v="11.23"/>
    <s v="300"/>
    <x v="272"/>
  </r>
  <r>
    <s v="18/05/2024"/>
    <s v="Pontevedra"/>
    <x v="1"/>
    <s v="Piloto Junior 1"/>
    <n v="12.53"/>
    <s v="225"/>
    <x v="273"/>
  </r>
  <r>
    <s v="18/06/2024"/>
    <s v="Pontevedra"/>
    <x v="1"/>
    <s v="Piloto Junior 1"/>
    <n v="13.73"/>
    <s v="225"/>
    <x v="274"/>
  </r>
  <r>
    <s v="18/06/2024"/>
    <s v="Pontevedra"/>
    <x v="0"/>
    <s v="Piloto Senior 2"/>
    <n v="5.87"/>
    <s v="300"/>
    <x v="275"/>
  </r>
  <r>
    <s v="18/06/2024"/>
    <s v="Ourense"/>
    <x v="1"/>
    <s v="Piloto Junior 1"/>
    <n v="5.48"/>
    <s v="225"/>
    <x v="109"/>
  </r>
  <r>
    <s v="18/07/2024"/>
    <s v="A Coruña"/>
    <x v="1"/>
    <s v="Piloto Junior 1"/>
    <n v="8.2100000000000009"/>
    <s v="225"/>
    <x v="276"/>
  </r>
  <r>
    <s v="18/08/2024"/>
    <s v="A Coruña"/>
    <x v="1"/>
    <s v="Piloto Junior 1"/>
    <n v="11.05"/>
    <s v="225"/>
    <x v="277"/>
  </r>
  <r>
    <s v="18/08/2024"/>
    <s v="Pontevedra"/>
    <x v="0"/>
    <s v="Piloto Senior 2"/>
    <n v="5.8"/>
    <s v="300"/>
    <x v="278"/>
  </r>
  <r>
    <s v="18/09/2024"/>
    <s v="A Coruña"/>
    <x v="0"/>
    <s v="Piloto Senior 2"/>
    <n v="12.03"/>
    <s v="300"/>
    <x v="279"/>
  </r>
  <r>
    <s v="18/09/2024"/>
    <s v="Ourense"/>
    <x v="0"/>
    <s v="Piloto Senior 2"/>
    <n v="15.1"/>
    <s v="300"/>
    <x v="280"/>
  </r>
  <r>
    <s v="19/02/2024"/>
    <s v="Pontevedra"/>
    <x v="0"/>
    <s v="Piloto Senior 2"/>
    <n v="10.47"/>
    <s v="300"/>
    <x v="281"/>
  </r>
  <r>
    <s v="19/02/2024"/>
    <s v="Lugo"/>
    <x v="3"/>
    <s v="Piloto Junior 2"/>
    <n v="5.37"/>
    <s v="250"/>
    <x v="282"/>
  </r>
  <r>
    <s v="19/03/2024"/>
    <s v="A Coruña"/>
    <x v="0"/>
    <s v="Piloto Senior 2"/>
    <n v="10.45"/>
    <s v="300"/>
    <x v="283"/>
  </r>
  <r>
    <s v="19/03/2024"/>
    <s v="Lugo"/>
    <x v="1"/>
    <s v="Piloto Junior 1"/>
    <n v="11.41"/>
    <s v="225"/>
    <x v="284"/>
  </r>
  <r>
    <s v="19/06/2024"/>
    <s v="A Coruña"/>
    <x v="1"/>
    <s v="Piloto Junior 1"/>
    <n v="7.58"/>
    <s v="225"/>
    <x v="285"/>
  </r>
  <r>
    <s v="19/06/2024"/>
    <s v="A Coruña"/>
    <x v="0"/>
    <s v="Piloto Senior 2"/>
    <n v="8.5"/>
    <s v="300"/>
    <x v="286"/>
  </r>
  <r>
    <s v="19/07/2024"/>
    <s v="Lugo"/>
    <x v="0"/>
    <s v="Piloto Senior 2"/>
    <n v="5.87"/>
    <s v="300"/>
    <x v="275"/>
  </r>
  <r>
    <s v="19/08/2024"/>
    <s v="Lugo"/>
    <x v="0"/>
    <s v="Piloto Senior 2"/>
    <n v="13.01"/>
    <s v="300"/>
    <x v="287"/>
  </r>
  <r>
    <s v="19/09/2024"/>
    <s v="A Coruña"/>
    <x v="1"/>
    <s v="Piloto Junior 1"/>
    <n v="14.61"/>
    <s v="225"/>
    <x v="288"/>
  </r>
  <r>
    <s v="19/09/2024"/>
    <s v="Lugo"/>
    <x v="0"/>
    <s v="Piloto Senior 2"/>
    <n v="15.31"/>
    <s v="300"/>
    <x v="289"/>
  </r>
  <r>
    <s v="19/10/2024"/>
    <s v="A Coruña"/>
    <x v="1"/>
    <s v="Piloto Junior 1"/>
    <n v="13.08"/>
    <s v="225"/>
    <x v="290"/>
  </r>
  <r>
    <s v="19/10/2024"/>
    <s v="Pontevedra"/>
    <x v="0"/>
    <s v="Piloto Senior 2"/>
    <n v="4.37"/>
    <s v="300"/>
    <x v="291"/>
  </r>
  <r>
    <s v="19/10/2024"/>
    <s v="Lugo"/>
    <x v="1"/>
    <s v="Piloto Junior 1"/>
    <n v="15.62"/>
    <s v="225"/>
    <x v="110"/>
  </r>
  <r>
    <s v="19/12/2024"/>
    <s v="A Coruña"/>
    <x v="0"/>
    <s v="Piloto Senior 2"/>
    <n v="5.25"/>
    <s v="300"/>
    <x v="292"/>
  </r>
  <r>
    <s v="19/12/2024"/>
    <s v="A Coruña"/>
    <x v="1"/>
    <s v="Piloto Junior 1"/>
    <n v="13.03"/>
    <s v="225"/>
    <x v="93"/>
  </r>
  <r>
    <s v="19/12/2024"/>
    <s v="Ourense"/>
    <x v="0"/>
    <s v="Piloto Senior 2"/>
    <n v="8.68"/>
    <s v="300"/>
    <x v="293"/>
  </r>
  <r>
    <s v="20/01/2024"/>
    <s v="Lugo"/>
    <x v="1"/>
    <s v="Piloto Junior 1"/>
    <n v="9.1999999999999993"/>
    <s v="225"/>
    <x v="294"/>
  </r>
  <r>
    <s v="20/02/2024"/>
    <s v="A Coruña"/>
    <x v="1"/>
    <s v="Piloto Junior 1"/>
    <n v="5.99"/>
    <s v="225"/>
    <x v="295"/>
  </r>
  <r>
    <s v="20/02/2024"/>
    <s v="Ourense"/>
    <x v="1"/>
    <s v="Piloto Junior 1"/>
    <n v="6.52"/>
    <s v="225"/>
    <x v="180"/>
  </r>
  <r>
    <s v="20/03/2024"/>
    <s v="A Coruña"/>
    <x v="0"/>
    <s v="Piloto Senior 2"/>
    <n v="6.46"/>
    <s v="300"/>
    <x v="296"/>
  </r>
  <r>
    <s v="20/03/2024"/>
    <s v="Pontevedra"/>
    <x v="3"/>
    <s v="Piloto Junior 2"/>
    <n v="12.23"/>
    <s v="250"/>
    <x v="297"/>
  </r>
  <r>
    <s v="20/03/2024"/>
    <s v="Lugo"/>
    <x v="0"/>
    <s v="Piloto Senior 2"/>
    <n v="5.98"/>
    <s v="300"/>
    <x v="298"/>
  </r>
  <r>
    <s v="20/04/2024"/>
    <s v="Pontevedra"/>
    <x v="0"/>
    <s v="Piloto Senior 2"/>
    <n v="10.3"/>
    <s v="300"/>
    <x v="299"/>
  </r>
  <r>
    <s v="20/06/2024"/>
    <s v="A Coruña"/>
    <x v="0"/>
    <s v="Piloto Senior 2"/>
    <n v="10.01"/>
    <s v="300"/>
    <x v="247"/>
  </r>
  <r>
    <s v="20/06/2024"/>
    <s v="Ourense"/>
    <x v="2"/>
    <s v="Piloto Senior 1"/>
    <n v="12.58"/>
    <s v="275"/>
    <x v="300"/>
  </r>
  <r>
    <s v="20/07/2024"/>
    <s v="A Coruña"/>
    <x v="2"/>
    <s v="Piloto Senior 1"/>
    <n v="4.1900000000000004"/>
    <s v="275"/>
    <x v="301"/>
  </r>
  <r>
    <s v="20/08/2024"/>
    <s v="A Coruña"/>
    <x v="0"/>
    <s v="Piloto Senior 2"/>
    <n v="8.7799999999999994"/>
    <s v="300"/>
    <x v="302"/>
  </r>
  <r>
    <s v="20/08/2024"/>
    <s v="A Coruña"/>
    <x v="1"/>
    <s v="Piloto Junior 1"/>
    <n v="9.57"/>
    <s v="225"/>
    <x v="303"/>
  </r>
  <r>
    <s v="20/08/2024"/>
    <s v="Pontevedra"/>
    <x v="0"/>
    <s v="Piloto Senior 2"/>
    <n v="13.43"/>
    <s v="300"/>
    <x v="304"/>
  </r>
  <r>
    <s v="20/08/2024"/>
    <s v="Pontevedra"/>
    <x v="0"/>
    <s v="Piloto Senior 2"/>
    <n v="13.27"/>
    <s v="300"/>
    <x v="305"/>
  </r>
  <r>
    <s v="20/09/2024"/>
    <s v="A Coruña"/>
    <x v="2"/>
    <s v="Piloto Senior 1"/>
    <n v="10.09"/>
    <s v="275"/>
    <x v="306"/>
  </r>
  <r>
    <s v="20/09/2024"/>
    <s v="A Coruña"/>
    <x v="2"/>
    <s v="Piloto Senior 1"/>
    <n v="4.37"/>
    <s v="275"/>
    <x v="184"/>
  </r>
  <r>
    <s v="20/09/2024"/>
    <s v="A Coruña"/>
    <x v="1"/>
    <s v="Piloto Junior 1"/>
    <n v="6.38"/>
    <s v="225"/>
    <x v="307"/>
  </r>
  <r>
    <s v="20/09/2024"/>
    <s v="Pontevedra"/>
    <x v="1"/>
    <s v="Piloto Junior 1"/>
    <n v="9.99"/>
    <s v="225"/>
    <x v="308"/>
  </r>
  <r>
    <s v="20/10/2024"/>
    <s v="A Coruña"/>
    <x v="0"/>
    <s v="Piloto Senior 2"/>
    <n v="4.05"/>
    <s v="300"/>
    <x v="309"/>
  </r>
  <r>
    <s v="20/10/2024"/>
    <s v="Lugo"/>
    <x v="0"/>
    <s v="Piloto Senior 2"/>
    <n v="11.8"/>
    <s v="300"/>
    <x v="310"/>
  </r>
  <r>
    <s v="20/10/2024"/>
    <s v="Ourense"/>
    <x v="1"/>
    <s v="Piloto Junior 1"/>
    <n v="7.97"/>
    <s v="225"/>
    <x v="311"/>
  </r>
  <r>
    <s v="20/11/2024"/>
    <s v="Pontevedra"/>
    <x v="3"/>
    <s v="Piloto Junior 2"/>
    <n v="4.49"/>
    <s v="250"/>
    <x v="312"/>
  </r>
  <r>
    <s v="20/12/2024"/>
    <s v="Ourense"/>
    <x v="1"/>
    <s v="Piloto Junior 1"/>
    <n v="5.91"/>
    <s v="225"/>
    <x v="313"/>
  </r>
  <r>
    <s v="21/01/2024"/>
    <s v="A Coruña"/>
    <x v="0"/>
    <s v="Piloto Senior 2"/>
    <n v="12.32"/>
    <s v="300"/>
    <x v="314"/>
  </r>
  <r>
    <s v="21/02/2024"/>
    <s v="Pontevedra"/>
    <x v="3"/>
    <s v="Piloto Junior 2"/>
    <n v="11.71"/>
    <s v="250"/>
    <x v="315"/>
  </r>
  <r>
    <s v="21/02/2024"/>
    <s v="Lugo"/>
    <x v="0"/>
    <s v="Piloto Senior 2"/>
    <n v="6.31"/>
    <s v="300"/>
    <x v="316"/>
  </r>
  <r>
    <s v="21/02/2024"/>
    <s v="Lugo"/>
    <x v="0"/>
    <s v="Piloto Senior 2"/>
    <n v="12.41"/>
    <s v="300"/>
    <x v="317"/>
  </r>
  <r>
    <s v="21/02/2024"/>
    <s v="Lugo"/>
    <x v="2"/>
    <s v="Piloto Senior 1"/>
    <n v="12.78"/>
    <s v="275"/>
    <x v="110"/>
  </r>
  <r>
    <s v="21/03/2024"/>
    <s v="A Coruña"/>
    <x v="1"/>
    <s v="Piloto Junior 1"/>
    <n v="7.14"/>
    <s v="225"/>
    <x v="318"/>
  </r>
  <r>
    <s v="21/03/2024"/>
    <s v="Pontevedra"/>
    <x v="0"/>
    <s v="Piloto Senior 2"/>
    <n v="6.24"/>
    <s v="300"/>
    <x v="319"/>
  </r>
  <r>
    <s v="21/04/2024"/>
    <s v="A Coruña"/>
    <x v="0"/>
    <s v="Piloto Senior 2"/>
    <n v="11.01"/>
    <s v="300"/>
    <x v="320"/>
  </r>
  <r>
    <s v="21/04/2024"/>
    <s v="Pontevedra"/>
    <x v="3"/>
    <s v="Piloto Junior 2"/>
    <n v="14.82"/>
    <s v="250"/>
    <x v="321"/>
  </r>
  <r>
    <s v="21/04/2024"/>
    <s v="Pontevedra"/>
    <x v="0"/>
    <s v="Piloto Senior 2"/>
    <n v="4.99"/>
    <s v="300"/>
    <x v="59"/>
  </r>
  <r>
    <s v="21/06/2024"/>
    <s v="Ourense"/>
    <x v="0"/>
    <s v="Piloto Senior 2"/>
    <n v="7.46"/>
    <s v="300"/>
    <x v="322"/>
  </r>
  <r>
    <s v="21/07/2024"/>
    <s v="A Coruña"/>
    <x v="0"/>
    <s v="Piloto Senior 2"/>
    <n v="7.22"/>
    <s v="300"/>
    <x v="323"/>
  </r>
  <r>
    <s v="21/08/2024"/>
    <s v="A Coruña"/>
    <x v="3"/>
    <s v="Piloto Junior 2"/>
    <n v="4.16"/>
    <s v="250"/>
    <x v="324"/>
  </r>
  <r>
    <s v="21/08/2024"/>
    <s v="Lugo"/>
    <x v="1"/>
    <s v="Piloto Junior 1"/>
    <n v="14.34"/>
    <s v="225"/>
    <x v="325"/>
  </r>
  <r>
    <s v="21/10/2024"/>
    <s v="A Coruña"/>
    <x v="1"/>
    <s v="Piloto Junior 1"/>
    <n v="13.26"/>
    <s v="225"/>
    <x v="326"/>
  </r>
  <r>
    <s v="21/12/2024"/>
    <s v="Lugo"/>
    <x v="0"/>
    <s v="Piloto Senior 2"/>
    <n v="8.18"/>
    <s v="300"/>
    <x v="327"/>
  </r>
  <r>
    <s v="22/02/2024"/>
    <s v="Pontevedra"/>
    <x v="1"/>
    <s v="Piloto Junior 1"/>
    <n v="8.59"/>
    <s v="225"/>
    <x v="328"/>
  </r>
  <r>
    <s v="22/02/2024"/>
    <s v="Ourense"/>
    <x v="0"/>
    <s v="Piloto Senior 2"/>
    <n v="15.91"/>
    <s v="300"/>
    <x v="329"/>
  </r>
  <r>
    <s v="22/03/2024"/>
    <s v="Lugo"/>
    <x v="0"/>
    <s v="Piloto Senior 2"/>
    <n v="14.12"/>
    <s v="300"/>
    <x v="330"/>
  </r>
  <r>
    <s v="22/03/2024"/>
    <s v="Lugo"/>
    <x v="2"/>
    <s v="Piloto Senior 1"/>
    <n v="4.17"/>
    <s v="275"/>
    <x v="331"/>
  </r>
  <r>
    <s v="22/03/2024"/>
    <s v="Lugo"/>
    <x v="0"/>
    <s v="Piloto Senior 2"/>
    <n v="11.37"/>
    <s v="300"/>
    <x v="332"/>
  </r>
  <r>
    <s v="22/04/2024"/>
    <s v="Ourense"/>
    <x v="1"/>
    <s v="Piloto Junior 1"/>
    <n v="15.24"/>
    <s v="225"/>
    <x v="116"/>
  </r>
  <r>
    <s v="22/06/2024"/>
    <s v="Ourense"/>
    <x v="0"/>
    <s v="Piloto Senior 2"/>
    <n v="10.68"/>
    <s v="300"/>
    <x v="333"/>
  </r>
  <r>
    <s v="22/07/2024"/>
    <s v="A Coruña"/>
    <x v="0"/>
    <s v="Piloto Senior 2"/>
    <n v="4.8899999999999997"/>
    <s v="300"/>
    <x v="180"/>
  </r>
  <r>
    <s v="22/07/2024"/>
    <s v="Pontevedra"/>
    <x v="3"/>
    <s v="Piloto Junior 2"/>
    <n v="11.4"/>
    <s v="250"/>
    <x v="334"/>
  </r>
  <r>
    <s v="22/08/2024"/>
    <s v="Lugo"/>
    <x v="0"/>
    <s v="Piloto Senior 2"/>
    <n v="4.49"/>
    <s v="300"/>
    <x v="335"/>
  </r>
  <r>
    <s v="22/09/2024"/>
    <s v="Pontevedra"/>
    <x v="3"/>
    <s v="Piloto Junior 2"/>
    <n v="11.36"/>
    <s v="250"/>
    <x v="336"/>
  </r>
  <r>
    <s v="22/10/2024"/>
    <s v="A Coruña"/>
    <x v="3"/>
    <s v="Piloto Junior 2"/>
    <n v="6.64"/>
    <s v="250"/>
    <x v="337"/>
  </r>
  <r>
    <s v="22/10/2024"/>
    <s v="A Coruña"/>
    <x v="0"/>
    <s v="Piloto Senior 2"/>
    <n v="4.5599999999999996"/>
    <s v="300"/>
    <x v="338"/>
  </r>
  <r>
    <s v="22/10/2024"/>
    <s v="A Coruña"/>
    <x v="0"/>
    <s v="Piloto Senior 2"/>
    <n v="11.56"/>
    <s v="300"/>
    <x v="339"/>
  </r>
  <r>
    <s v="22/11/2024"/>
    <s v="Pontevedra"/>
    <x v="0"/>
    <s v="Piloto Senior 2"/>
    <n v="14.36"/>
    <s v="300"/>
    <x v="340"/>
  </r>
  <r>
    <s v="22/12/2024"/>
    <s v="A Coruña"/>
    <x v="0"/>
    <s v="Piloto Senior 2"/>
    <n v="13.87"/>
    <s v="300"/>
    <x v="341"/>
  </r>
  <r>
    <s v="22/12/2024"/>
    <s v="A Coruña"/>
    <x v="2"/>
    <s v="Piloto Senior 1"/>
    <n v="14.8"/>
    <s v="275"/>
    <x v="342"/>
  </r>
  <r>
    <s v="22/12/2024"/>
    <s v="A Coruña"/>
    <x v="0"/>
    <s v="Piloto Senior 2"/>
    <n v="6.06"/>
    <s v="300"/>
    <x v="343"/>
  </r>
  <r>
    <s v="22/12/2024"/>
    <s v="Pontevedra"/>
    <x v="0"/>
    <s v="Piloto Senior 2"/>
    <n v="8.48"/>
    <s v="300"/>
    <x v="86"/>
  </r>
  <r>
    <s v="22/12/2024"/>
    <s v="Ourense"/>
    <x v="0"/>
    <s v="Piloto Senior 2"/>
    <n v="15.22"/>
    <s v="300"/>
    <x v="344"/>
  </r>
  <r>
    <s v="23/01/2024"/>
    <s v="A Coruña"/>
    <x v="0"/>
    <s v="Piloto Senior 2"/>
    <n v="10.88"/>
    <s v="300"/>
    <x v="345"/>
  </r>
  <r>
    <s v="23/01/2024"/>
    <s v="Pontevedra"/>
    <x v="1"/>
    <s v="Piloto Junior 1"/>
    <n v="15.6"/>
    <s v="225"/>
    <x v="346"/>
  </r>
  <r>
    <s v="23/03/2024"/>
    <s v="Pontevedra"/>
    <x v="2"/>
    <s v="Piloto Senior 1"/>
    <n v="11.44"/>
    <s v="275"/>
    <x v="347"/>
  </r>
  <r>
    <s v="23/03/2024"/>
    <s v="Pontevedra"/>
    <x v="0"/>
    <s v="Piloto Senior 2"/>
    <n v="12.77"/>
    <s v="300"/>
    <x v="348"/>
  </r>
  <r>
    <s v="23/03/2024"/>
    <s v="Pontevedra"/>
    <x v="3"/>
    <s v="Piloto Junior 2"/>
    <n v="8.41"/>
    <s v="250"/>
    <x v="349"/>
  </r>
  <r>
    <s v="23/04/2024"/>
    <s v="A Coruña"/>
    <x v="2"/>
    <s v="Piloto Senior 1"/>
    <n v="14.89"/>
    <s v="275"/>
    <x v="350"/>
  </r>
  <r>
    <s v="23/05/2024"/>
    <s v="A Coruña"/>
    <x v="1"/>
    <s v="Piloto Junior 1"/>
    <n v="15.54"/>
    <s v="225"/>
    <x v="351"/>
  </r>
  <r>
    <s v="23/05/2024"/>
    <s v="Lugo"/>
    <x v="1"/>
    <s v="Piloto Junior 1"/>
    <n v="4.5199999999999996"/>
    <s v="225"/>
    <x v="352"/>
  </r>
  <r>
    <s v="23/06/2024"/>
    <s v="Pontevedra"/>
    <x v="2"/>
    <s v="Piloto Senior 1"/>
    <n v="14.73"/>
    <s v="275"/>
    <x v="353"/>
  </r>
  <r>
    <s v="23/07/2024"/>
    <s v="Lugo"/>
    <x v="1"/>
    <s v="Piloto Junior 1"/>
    <n v="13"/>
    <s v="225"/>
    <x v="354"/>
  </r>
  <r>
    <s v="23/11/2024"/>
    <s v="A Coruña"/>
    <x v="0"/>
    <s v="Piloto Senior 2"/>
    <n v="15.54"/>
    <s v="300"/>
    <x v="355"/>
  </r>
  <r>
    <s v="23/12/2024"/>
    <s v="Pontevedra"/>
    <x v="0"/>
    <s v="Piloto Senior 2"/>
    <n v="8.36"/>
    <s v="300"/>
    <x v="356"/>
  </r>
  <r>
    <s v="23/12/2024"/>
    <s v="Pontevedra"/>
    <x v="3"/>
    <s v="Piloto Junior 2"/>
    <n v="10.45"/>
    <s v="250"/>
    <x v="357"/>
  </r>
  <r>
    <s v="24/01/2024"/>
    <s v="A Coruña"/>
    <x v="3"/>
    <s v="Piloto Junior 2"/>
    <n v="9.01"/>
    <s v="250"/>
    <x v="358"/>
  </r>
  <r>
    <s v="24/01/2024"/>
    <s v="Pontevedra"/>
    <x v="2"/>
    <s v="Piloto Senior 1"/>
    <n v="8.6"/>
    <s v="275"/>
    <x v="359"/>
  </r>
  <r>
    <s v="24/03/2024"/>
    <s v="Pontevedra"/>
    <x v="0"/>
    <s v="Piloto Senior 2"/>
    <n v="11.74"/>
    <s v="300"/>
    <x v="360"/>
  </r>
  <r>
    <s v="24/05/2024"/>
    <s v="Pontevedra"/>
    <x v="1"/>
    <s v="Piloto Junior 1"/>
    <n v="8.83"/>
    <s v="225"/>
    <x v="361"/>
  </r>
  <r>
    <s v="24/05/2024"/>
    <s v="Lugo"/>
    <x v="3"/>
    <s v="Piloto Junior 2"/>
    <n v="14.65"/>
    <s v="250"/>
    <x v="362"/>
  </r>
  <r>
    <s v="24/06/2024"/>
    <s v="A Coruña"/>
    <x v="0"/>
    <s v="Piloto Senior 2"/>
    <n v="12.11"/>
    <s v="300"/>
    <x v="363"/>
  </r>
  <r>
    <s v="24/06/2024"/>
    <s v="Lugo"/>
    <x v="1"/>
    <s v="Piloto Junior 1"/>
    <n v="8.41"/>
    <s v="225"/>
    <x v="364"/>
  </r>
  <r>
    <s v="24/07/2024"/>
    <s v="A Coruña"/>
    <x v="1"/>
    <s v="Piloto Junior 1"/>
    <n v="13.73"/>
    <s v="225"/>
    <x v="274"/>
  </r>
  <r>
    <s v="24/09/2024"/>
    <s v="A Coruña"/>
    <x v="0"/>
    <s v="Piloto Senior 2"/>
    <n v="11.05"/>
    <s v="300"/>
    <x v="365"/>
  </r>
  <r>
    <s v="24/10/2024"/>
    <s v="A Coruña"/>
    <x v="0"/>
    <s v="Piloto Senior 2"/>
    <n v="4.2699999999999996"/>
    <s v="300"/>
    <x v="20"/>
  </r>
  <r>
    <s v="24/10/2024"/>
    <s v="A Coruña"/>
    <x v="0"/>
    <s v="Piloto Senior 2"/>
    <n v="13.99"/>
    <s v="300"/>
    <x v="366"/>
  </r>
  <r>
    <s v="24/11/2024"/>
    <s v="A Coruña"/>
    <x v="0"/>
    <s v="Piloto Senior 2"/>
    <n v="5.14"/>
    <s v="300"/>
    <x v="367"/>
  </r>
  <r>
    <s v="24/11/2024"/>
    <s v="A Coruña"/>
    <x v="0"/>
    <s v="Piloto Senior 2"/>
    <n v="7.82"/>
    <s v="300"/>
    <x v="368"/>
  </r>
  <r>
    <s v="24/11/2024"/>
    <s v="A Coruña"/>
    <x v="1"/>
    <s v="Piloto Junior 1"/>
    <n v="4.55"/>
    <s v="225"/>
    <x v="369"/>
  </r>
  <r>
    <s v="24/11/2024"/>
    <s v="Ourense"/>
    <x v="0"/>
    <s v="Piloto Senior 2"/>
    <n v="5.4"/>
    <s v="300"/>
    <x v="211"/>
  </r>
  <r>
    <s v="24/12/2024"/>
    <s v="Ourense"/>
    <x v="1"/>
    <s v="Piloto Junior 1"/>
    <n v="9.41"/>
    <s v="225"/>
    <x v="370"/>
  </r>
  <r>
    <s v="25/01/2024"/>
    <s v="A Coruña"/>
    <x v="2"/>
    <s v="Piloto Senior 1"/>
    <n v="10.19"/>
    <s v="275"/>
    <x v="371"/>
  </r>
  <r>
    <s v="25/01/2024"/>
    <s v="A Coruña"/>
    <x v="1"/>
    <s v="Piloto Junior 1"/>
    <n v="9.23"/>
    <s v="225"/>
    <x v="372"/>
  </r>
  <r>
    <s v="25/01/2024"/>
    <s v="Ourense"/>
    <x v="0"/>
    <s v="Piloto Senior 2"/>
    <n v="12.06"/>
    <s v="300"/>
    <x v="373"/>
  </r>
  <r>
    <s v="25/04/2024"/>
    <s v="Pontevedra"/>
    <x v="1"/>
    <s v="Piloto Junior 1"/>
    <n v="6.44"/>
    <s v="225"/>
    <x v="374"/>
  </r>
  <r>
    <s v="25/07/2024"/>
    <s v="A Coruña"/>
    <x v="1"/>
    <s v="Piloto Junior 1"/>
    <n v="5.69"/>
    <s v="225"/>
    <x v="375"/>
  </r>
  <r>
    <s v="25/07/2024"/>
    <s v="A Coruña"/>
    <x v="3"/>
    <s v="Piloto Junior 2"/>
    <n v="8.5299999999999994"/>
    <s v="250"/>
    <x v="376"/>
  </r>
  <r>
    <s v="25/08/2024"/>
    <s v="Pontevedra"/>
    <x v="3"/>
    <s v="Piloto Junior 2"/>
    <n v="10.62"/>
    <s v="250"/>
    <x v="57"/>
  </r>
  <r>
    <s v="25/08/2024"/>
    <s v="Pontevedra"/>
    <x v="1"/>
    <s v="Piloto Junior 1"/>
    <n v="5.17"/>
    <s v="225"/>
    <x v="377"/>
  </r>
  <r>
    <s v="25/09/2024"/>
    <s v="A Coruña"/>
    <x v="3"/>
    <s v="Piloto Junior 2"/>
    <n v="5.91"/>
    <s v="250"/>
    <x v="378"/>
  </r>
  <r>
    <s v="25/10/2024"/>
    <s v="A Coruña"/>
    <x v="0"/>
    <s v="Piloto Senior 2"/>
    <n v="7.81"/>
    <s v="300"/>
    <x v="379"/>
  </r>
  <r>
    <s v="25/10/2024"/>
    <s v="Pontevedra"/>
    <x v="1"/>
    <s v="Piloto Junior 1"/>
    <n v="11.82"/>
    <s v="225"/>
    <x v="380"/>
  </r>
  <r>
    <s v="25/11/2024"/>
    <s v="Pontevedra"/>
    <x v="2"/>
    <s v="Piloto Senior 1"/>
    <n v="8.5500000000000007"/>
    <s v="275"/>
    <x v="381"/>
  </r>
  <r>
    <s v="25/11/2024"/>
    <s v="Lugo"/>
    <x v="0"/>
    <s v="Piloto Senior 2"/>
    <n v="12.31"/>
    <s v="300"/>
    <x v="382"/>
  </r>
  <r>
    <s v="25/12/2024"/>
    <s v="A Coruña"/>
    <x v="1"/>
    <s v="Piloto Junior 1"/>
    <n v="7.64"/>
    <s v="225"/>
    <x v="260"/>
  </r>
  <r>
    <s v="25/12/2024"/>
    <s v="Pontevedra"/>
    <x v="0"/>
    <s v="Piloto Senior 2"/>
    <n v="10.83"/>
    <s v="300"/>
    <x v="383"/>
  </r>
  <r>
    <s v="26/01/2024"/>
    <s v="Pontevedra"/>
    <x v="3"/>
    <s v="Piloto Junior 2"/>
    <n v="4.03"/>
    <s v="250"/>
    <x v="384"/>
  </r>
  <r>
    <s v="26/04/2024"/>
    <s v="Lugo"/>
    <x v="1"/>
    <s v="Piloto Junior 1"/>
    <n v="15.9"/>
    <s v="225"/>
    <x v="385"/>
  </r>
  <r>
    <s v="26/04/2024"/>
    <s v="Ourense"/>
    <x v="1"/>
    <s v="Piloto Junior 1"/>
    <n v="15.46"/>
    <s v="225"/>
    <x v="386"/>
  </r>
  <r>
    <s v="26/04/2024"/>
    <s v="Ourense"/>
    <x v="3"/>
    <s v="Piloto Junior 2"/>
    <n v="13.9"/>
    <s v="250"/>
    <x v="387"/>
  </r>
  <r>
    <s v="26/05/2024"/>
    <s v="A Coruña"/>
    <x v="0"/>
    <s v="Piloto Senior 2"/>
    <n v="15.99"/>
    <s v="300"/>
    <x v="388"/>
  </r>
  <r>
    <s v="26/05/2024"/>
    <s v="Pontevedra"/>
    <x v="0"/>
    <s v="Piloto Senior 2"/>
    <n v="10.039999999999999"/>
    <s v="300"/>
    <x v="389"/>
  </r>
  <r>
    <s v="26/05/2024"/>
    <s v="Lugo"/>
    <x v="0"/>
    <s v="Piloto Senior 2"/>
    <n v="5.68"/>
    <s v="300"/>
    <x v="390"/>
  </r>
  <r>
    <s v="26/06/2024"/>
    <s v="Pontevedra"/>
    <x v="1"/>
    <s v="Piloto Junior 1"/>
    <n v="11.51"/>
    <s v="225"/>
    <x v="391"/>
  </r>
  <r>
    <s v="26/07/2024"/>
    <s v="A Coruña"/>
    <x v="1"/>
    <s v="Piloto Junior 1"/>
    <n v="15.78"/>
    <s v="225"/>
    <x v="392"/>
  </r>
  <r>
    <s v="26/08/2024"/>
    <s v="A Coruña"/>
    <x v="1"/>
    <s v="Piloto Junior 1"/>
    <n v="15.73"/>
    <s v="225"/>
    <x v="393"/>
  </r>
  <r>
    <s v="26/09/2024"/>
    <s v="A Coruña"/>
    <x v="0"/>
    <s v="Piloto Senior 2"/>
    <n v="12.01"/>
    <s v="300"/>
    <x v="394"/>
  </r>
  <r>
    <s v="26/09/2024"/>
    <s v="Ourense"/>
    <x v="2"/>
    <s v="Piloto Senior 1"/>
    <n v="15.22"/>
    <s v="275"/>
    <x v="395"/>
  </r>
  <r>
    <s v="26/10/2024"/>
    <s v="A Coruña"/>
    <x v="3"/>
    <s v="Piloto Junior 2"/>
    <n v="6.59"/>
    <s v="250"/>
    <x v="396"/>
  </r>
  <r>
    <s v="26/10/2024"/>
    <s v="A Coruña"/>
    <x v="2"/>
    <s v="Piloto Senior 1"/>
    <n v="5.89"/>
    <s v="275"/>
    <x v="397"/>
  </r>
  <r>
    <s v="26/10/2024"/>
    <s v="Pontevedra"/>
    <x v="1"/>
    <s v="Piloto Junior 1"/>
    <n v="7.66"/>
    <s v="225"/>
    <x v="398"/>
  </r>
  <r>
    <s v="26/12/2024"/>
    <s v="A Coruña"/>
    <x v="0"/>
    <s v="Piloto Senior 2"/>
    <n v="11.38"/>
    <s v="300"/>
    <x v="399"/>
  </r>
  <r>
    <s v="26/12/2024"/>
    <s v="Pontevedra"/>
    <x v="1"/>
    <s v="Piloto Junior 1"/>
    <n v="13.34"/>
    <s v="225"/>
    <x v="400"/>
  </r>
  <r>
    <s v="27/01/2024"/>
    <s v="A Coruña"/>
    <x v="0"/>
    <s v="Piloto Senior 2"/>
    <n v="5.78"/>
    <s v="300"/>
    <x v="401"/>
  </r>
  <r>
    <s v="27/02/2024"/>
    <s v="A Coruña"/>
    <x v="0"/>
    <s v="Piloto Senior 2"/>
    <n v="15.67"/>
    <s v="300"/>
    <x v="402"/>
  </r>
  <r>
    <s v="27/02/2024"/>
    <s v="A Coruña"/>
    <x v="0"/>
    <s v="Piloto Senior 2"/>
    <n v="8.8800000000000008"/>
    <s v="300"/>
    <x v="403"/>
  </r>
  <r>
    <s v="27/02/2024"/>
    <s v="Lugo"/>
    <x v="3"/>
    <s v="Piloto Junior 2"/>
    <n v="9.5399999999999991"/>
    <s v="250"/>
    <x v="120"/>
  </r>
  <r>
    <s v="27/03/2024"/>
    <s v="Pontevedra"/>
    <x v="1"/>
    <s v="Piloto Junior 1"/>
    <n v="10.18"/>
    <s v="225"/>
    <x v="404"/>
  </r>
  <r>
    <s v="27/06/2024"/>
    <s v="Pontevedra"/>
    <x v="0"/>
    <s v="Piloto Senior 2"/>
    <n v="14.36"/>
    <s v="300"/>
    <x v="340"/>
  </r>
  <r>
    <s v="27/07/2024"/>
    <s v="A Coruña"/>
    <x v="1"/>
    <s v="Piloto Junior 1"/>
    <n v="11.58"/>
    <s v="225"/>
    <x v="405"/>
  </r>
  <r>
    <s v="27/07/2024"/>
    <s v="Pontevedra"/>
    <x v="0"/>
    <s v="Piloto Senior 2"/>
    <n v="12.75"/>
    <s v="300"/>
    <x v="31"/>
  </r>
  <r>
    <s v="27/07/2024"/>
    <s v="Pontevedra"/>
    <x v="1"/>
    <s v="Piloto Junior 1"/>
    <n v="4.72"/>
    <s v="225"/>
    <x v="406"/>
  </r>
  <r>
    <s v="27/08/2024"/>
    <s v="A Coruña"/>
    <x v="1"/>
    <s v="Piloto Junior 1"/>
    <n v="14.47"/>
    <s v="225"/>
    <x v="407"/>
  </r>
  <r>
    <s v="27/08/2024"/>
    <s v="Ourense"/>
    <x v="0"/>
    <s v="Piloto Senior 2"/>
    <n v="6.68"/>
    <s v="300"/>
    <x v="408"/>
  </r>
  <r>
    <s v="27/10/2024"/>
    <s v="A Coruña"/>
    <x v="1"/>
    <s v="Piloto Junior 1"/>
    <n v="13.26"/>
    <s v="225"/>
    <x v="326"/>
  </r>
  <r>
    <s v="27/11/2024"/>
    <s v="A Coruña"/>
    <x v="2"/>
    <s v="Piloto Senior 1"/>
    <n v="14.22"/>
    <s v="275"/>
    <x v="409"/>
  </r>
  <r>
    <s v="27/11/2024"/>
    <s v="Lugo"/>
    <x v="0"/>
    <s v="Piloto Senior 2"/>
    <n v="6.42"/>
    <s v="300"/>
    <x v="410"/>
  </r>
  <r>
    <s v="27/11/2024"/>
    <s v="Ourense"/>
    <x v="0"/>
    <s v="Piloto Senior 2"/>
    <n v="5.32"/>
    <s v="300"/>
    <x v="411"/>
  </r>
  <r>
    <s v="27/12/2024"/>
    <s v="A Coruña"/>
    <x v="0"/>
    <s v="Piloto Senior 2"/>
    <n v="10.53"/>
    <s v="300"/>
    <x v="200"/>
  </r>
  <r>
    <s v="27/12/2024"/>
    <s v="Lugo"/>
    <x v="0"/>
    <s v="Piloto Senior 2"/>
    <n v="9.31"/>
    <s v="300"/>
    <x v="412"/>
  </r>
  <r>
    <s v="27/12/2024"/>
    <s v="Ourense"/>
    <x v="0"/>
    <s v="Piloto Senior 2"/>
    <n v="4.3899999999999997"/>
    <s v="300"/>
    <x v="413"/>
  </r>
  <r>
    <s v="28/01/2024"/>
    <s v="A Coruña"/>
    <x v="2"/>
    <s v="Piloto Senior 1"/>
    <n v="4.43"/>
    <s v="275"/>
    <x v="414"/>
  </r>
  <r>
    <s v="28/01/2024"/>
    <s v="Lugo"/>
    <x v="2"/>
    <s v="Piloto Senior 1"/>
    <n v="8.3800000000000008"/>
    <s v="275"/>
    <x v="415"/>
  </r>
  <r>
    <s v="28/01/2024"/>
    <s v="Ourense"/>
    <x v="0"/>
    <s v="Piloto Senior 2"/>
    <n v="14.47"/>
    <s v="300"/>
    <x v="416"/>
  </r>
  <r>
    <s v="28/02/2024"/>
    <s v="A Coruña"/>
    <x v="0"/>
    <s v="Piloto Senior 2"/>
    <n v="9.49"/>
    <s v="300"/>
    <x v="417"/>
  </r>
  <r>
    <s v="28/02/2024"/>
    <s v="Pontevedra"/>
    <x v="0"/>
    <s v="Piloto Senior 2"/>
    <n v="5.99"/>
    <s v="300"/>
    <x v="418"/>
  </r>
  <r>
    <s v="28/03/2024"/>
    <s v="A Coruña"/>
    <x v="2"/>
    <s v="Piloto Senior 1"/>
    <n v="4.8600000000000003"/>
    <s v="275"/>
    <x v="123"/>
  </r>
  <r>
    <s v="28/03/2024"/>
    <s v="A Coruña"/>
    <x v="1"/>
    <s v="Piloto Junior 1"/>
    <n v="9.7200000000000006"/>
    <s v="225"/>
    <x v="419"/>
  </r>
  <r>
    <s v="28/04/2024"/>
    <s v="A Coruña"/>
    <x v="0"/>
    <s v="Piloto Senior 2"/>
    <n v="15.91"/>
    <s v="300"/>
    <x v="329"/>
  </r>
  <r>
    <s v="28/05/2024"/>
    <s v="A Coruña"/>
    <x v="1"/>
    <s v="Piloto Junior 1"/>
    <n v="11.55"/>
    <s v="225"/>
    <x v="21"/>
  </r>
  <r>
    <s v="28/06/2024"/>
    <s v="Pontevedra"/>
    <x v="1"/>
    <s v="Piloto Junior 1"/>
    <n v="8.6300000000000008"/>
    <s v="225"/>
    <x v="420"/>
  </r>
  <r>
    <s v="28/06/2024"/>
    <s v="Pontevedra"/>
    <x v="1"/>
    <s v="Piloto Junior 1"/>
    <n v="13.17"/>
    <s v="225"/>
    <x v="421"/>
  </r>
  <r>
    <s v="28/08/2024"/>
    <s v="A Coruña"/>
    <x v="1"/>
    <s v="Piloto Junior 1"/>
    <n v="8.2100000000000009"/>
    <s v="225"/>
    <x v="276"/>
  </r>
  <r>
    <s v="28/08/2024"/>
    <s v="Pontevedra"/>
    <x v="2"/>
    <s v="Piloto Senior 1"/>
    <n v="14.26"/>
    <s v="275"/>
    <x v="422"/>
  </r>
  <r>
    <s v="28/09/2024"/>
    <s v="Pontevedra"/>
    <x v="2"/>
    <s v="Piloto Senior 1"/>
    <n v="13.24"/>
    <s v="275"/>
    <x v="423"/>
  </r>
  <r>
    <s v="28/09/2024"/>
    <s v="Lugo"/>
    <x v="2"/>
    <s v="Piloto Senior 1"/>
    <n v="5.48"/>
    <s v="275"/>
    <x v="424"/>
  </r>
  <r>
    <s v="28/10/2024"/>
    <s v="A Coruña"/>
    <x v="0"/>
    <s v="Piloto Senior 2"/>
    <n v="6.17"/>
    <s v="300"/>
    <x v="425"/>
  </r>
  <r>
    <s v="28/11/2024"/>
    <s v="Pontevedra"/>
    <x v="1"/>
    <s v="Piloto Junior 1"/>
    <n v="13.31"/>
    <s v="225"/>
    <x v="426"/>
  </r>
  <r>
    <s v="28/11/2024"/>
    <s v="Lugo"/>
    <x v="3"/>
    <s v="Piloto Junior 2"/>
    <n v="10.54"/>
    <s v="250"/>
    <x v="427"/>
  </r>
  <r>
    <s v="28/12/2024"/>
    <s v="Pontevedra"/>
    <x v="0"/>
    <s v="Piloto Senior 2"/>
    <n v="12.37"/>
    <s v="300"/>
    <x v="428"/>
  </r>
  <r>
    <s v="28/12/2024"/>
    <s v="Lugo"/>
    <x v="1"/>
    <s v="Piloto Junior 1"/>
    <n v="8.07"/>
    <s v="225"/>
    <x v="429"/>
  </r>
  <r>
    <s v="28/12/2024"/>
    <s v="Ourense"/>
    <x v="1"/>
    <s v="Piloto Junior 1"/>
    <n v="12.1"/>
    <s v="225"/>
    <x v="430"/>
  </r>
  <r>
    <s v="29/01/2024"/>
    <s v="Ourense"/>
    <x v="0"/>
    <s v="Piloto Senior 2"/>
    <n v="8.6"/>
    <s v="300"/>
    <x v="431"/>
  </r>
  <r>
    <s v="29/02/2024"/>
    <s v="A Coruña"/>
    <x v="2"/>
    <s v="Piloto Senior 1"/>
    <n v="14.73"/>
    <s v="275"/>
    <x v="353"/>
  </r>
  <r>
    <s v="29/03/2024"/>
    <s v="Pontevedra"/>
    <x v="2"/>
    <s v="Piloto Senior 1"/>
    <n v="6.36"/>
    <s v="275"/>
    <x v="432"/>
  </r>
  <r>
    <s v="29/04/2024"/>
    <s v="A Coruña"/>
    <x v="1"/>
    <s v="Piloto Junior 1"/>
    <n v="12.52"/>
    <s v="225"/>
    <x v="1"/>
  </r>
  <r>
    <s v="29/04/2024"/>
    <s v="A Coruña"/>
    <x v="0"/>
    <s v="Piloto Senior 2"/>
    <n v="8.3699999999999992"/>
    <s v="300"/>
    <x v="433"/>
  </r>
  <r>
    <s v="29/04/2024"/>
    <s v="Pontevedra"/>
    <x v="0"/>
    <s v="Piloto Senior 2"/>
    <n v="8.26"/>
    <s v="300"/>
    <x v="152"/>
  </r>
  <r>
    <s v="29/04/2024"/>
    <s v="Pontevedra"/>
    <x v="3"/>
    <s v="Piloto Junior 2"/>
    <n v="13.64"/>
    <s v="250"/>
    <x v="434"/>
  </r>
  <r>
    <s v="29/06/2024"/>
    <s v="A Coruña"/>
    <x v="3"/>
    <s v="Piloto Junior 2"/>
    <n v="11.29"/>
    <s v="250"/>
    <x v="435"/>
  </r>
  <r>
    <s v="29/08/2024"/>
    <s v="A Coruña"/>
    <x v="2"/>
    <s v="Piloto Senior 1"/>
    <n v="15.53"/>
    <s v="275"/>
    <x v="436"/>
  </r>
  <r>
    <s v="29/08/2024"/>
    <s v="A Coruña"/>
    <x v="2"/>
    <s v="Piloto Senior 1"/>
    <n v="8.1999999999999993"/>
    <s v="275"/>
    <x v="437"/>
  </r>
  <r>
    <s v="29/09/2024"/>
    <s v="Ourense"/>
    <x v="1"/>
    <s v="Piloto Junior 1"/>
    <n v="10.18"/>
    <s v="225"/>
    <x v="404"/>
  </r>
  <r>
    <s v="29/10/2024"/>
    <s v="A Coruña"/>
    <x v="0"/>
    <s v="Piloto Senior 2"/>
    <n v="6.82"/>
    <s v="300"/>
    <x v="438"/>
  </r>
  <r>
    <s v="29/11/2024"/>
    <s v="A Coruña"/>
    <x v="0"/>
    <s v="Piloto Senior 2"/>
    <n v="15.96"/>
    <s v="300"/>
    <x v="439"/>
  </r>
  <r>
    <s v="30/01/2024"/>
    <s v="A Coruña"/>
    <x v="1"/>
    <s v="Piloto Junior 1"/>
    <n v="8.49"/>
    <s v="225"/>
    <x v="440"/>
  </r>
  <r>
    <s v="30/03/2024"/>
    <s v="Lugo"/>
    <x v="2"/>
    <s v="Piloto Senior 1"/>
    <n v="8.82"/>
    <s v="275"/>
    <x v="441"/>
  </r>
  <r>
    <s v="30/04/2024"/>
    <s v="A Coruña"/>
    <x v="3"/>
    <s v="Piloto Junior 2"/>
    <n v="4.6500000000000004"/>
    <s v="250"/>
    <x v="442"/>
  </r>
  <r>
    <s v="30/04/2024"/>
    <s v="Pontevedra"/>
    <x v="0"/>
    <s v="Piloto Senior 2"/>
    <n v="14.01"/>
    <s v="300"/>
    <x v="443"/>
  </r>
  <r>
    <s v="30/04/2024"/>
    <s v="Lugo"/>
    <x v="0"/>
    <s v="Piloto Senior 2"/>
    <n v="10.97"/>
    <s v="300"/>
    <x v="444"/>
  </r>
  <r>
    <s v="30/04/2024"/>
    <s v="Lugo"/>
    <x v="2"/>
    <s v="Piloto Senior 1"/>
    <n v="11.27"/>
    <s v="275"/>
    <x v="445"/>
  </r>
  <r>
    <s v="30/07/2024"/>
    <s v="Pontevedra"/>
    <x v="2"/>
    <s v="Piloto Senior 1"/>
    <n v="12.95"/>
    <s v="275"/>
    <x v="446"/>
  </r>
  <r>
    <s v="30/10/2024"/>
    <s v="Pontevedra"/>
    <x v="0"/>
    <s v="Piloto Senior 2"/>
    <n v="15.93"/>
    <s v="300"/>
    <x v="447"/>
  </r>
  <r>
    <s v="30/11/2024"/>
    <s v="A Coruña"/>
    <x v="2"/>
    <s v="Piloto Senior 1"/>
    <n v="13.9"/>
    <s v="275"/>
    <x v="448"/>
  </r>
  <r>
    <s v="30/12/2024"/>
    <s v="Lugo"/>
    <x v="0"/>
    <s v="Piloto Senior 2"/>
    <n v="13.25"/>
    <s v="300"/>
    <x v="449"/>
  </r>
  <r>
    <s v="30/12/2024"/>
    <s v="Lugo"/>
    <x v="0"/>
    <s v="Piloto Senior 2"/>
    <n v="15.87"/>
    <s v="300"/>
    <x v="450"/>
  </r>
  <r>
    <s v="30/12/2024"/>
    <s v="Ourense"/>
    <x v="3"/>
    <s v="Piloto Junior 2"/>
    <n v="8.36"/>
    <s v="250"/>
    <x v="451"/>
  </r>
  <r>
    <s v="31/01/2024"/>
    <s v="A Coruña"/>
    <x v="2"/>
    <s v="Piloto Senior 1"/>
    <n v="13.87"/>
    <s v="275"/>
    <x v="452"/>
  </r>
  <r>
    <s v="31/01/2024"/>
    <s v="Pontevedra"/>
    <x v="2"/>
    <s v="Piloto Senior 1"/>
    <n v="15.36"/>
    <s v="275"/>
    <x v="453"/>
  </r>
  <r>
    <s v="31/01/2024"/>
    <s v="Lugo"/>
    <x v="0"/>
    <s v="Piloto Senior 2"/>
    <n v="9.33"/>
    <s v="300"/>
    <x v="454"/>
  </r>
  <r>
    <s v="31/01/2024"/>
    <s v="Ourense"/>
    <x v="2"/>
    <s v="Piloto Senior 1"/>
    <n v="9.9499999999999993"/>
    <s v="275"/>
    <x v="455"/>
  </r>
  <r>
    <s v="31/03/2024"/>
    <s v="Lugo"/>
    <x v="0"/>
    <s v="Piloto Senior 2"/>
    <n v="15.58"/>
    <s v="300"/>
    <x v="456"/>
  </r>
  <r>
    <s v="31/05/2024"/>
    <s v="Pontevedra"/>
    <x v="0"/>
    <s v="Piloto Senior 2"/>
    <n v="5.92"/>
    <s v="300"/>
    <x v="457"/>
  </r>
  <r>
    <s v="31/05/2024"/>
    <s v="Pontevedra"/>
    <x v="1"/>
    <s v="Piloto Junior 1"/>
    <n v="9.5299999999999994"/>
    <s v="225"/>
    <x v="458"/>
  </r>
  <r>
    <s v="31/05/2024"/>
    <s v="Pontevedra"/>
    <x v="0"/>
    <s v="Piloto Senior 2"/>
    <n v="10.09"/>
    <s v="300"/>
    <x v="459"/>
  </r>
  <r>
    <s v="31/07/2024"/>
    <s v="Pontevedra"/>
    <x v="3"/>
    <s v="Piloto Junior 2"/>
    <n v="9.34"/>
    <s v="250"/>
    <x v="460"/>
  </r>
  <r>
    <s v="31/08/2024"/>
    <s v="A Coruña"/>
    <x v="0"/>
    <s v="Piloto Senior 2"/>
    <n v="13.61"/>
    <s v="300"/>
    <x v="461"/>
  </r>
  <r>
    <s v="31/08/2024"/>
    <s v="A Coruña"/>
    <x v="0"/>
    <s v="Piloto Senior 2"/>
    <n v="9.49"/>
    <s v="300"/>
    <x v="417"/>
  </r>
  <r>
    <s v="31/08/2024"/>
    <s v="Pontevedra"/>
    <x v="2"/>
    <s v="Piloto Senior 1"/>
    <n v="11.13"/>
    <s v="275"/>
    <x v="462"/>
  </r>
  <r>
    <s v="31/10/2024"/>
    <s v="Pontevedra"/>
    <x v="0"/>
    <s v="Piloto Senior 2"/>
    <n v="11.04"/>
    <s v="300"/>
    <x v="463"/>
  </r>
  <r>
    <s v="31/10/2024"/>
    <s v="Lugo"/>
    <x v="3"/>
    <s v="Piloto Junior 2"/>
    <n v="4.92"/>
    <s v="250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ACDE3-0D39-4346-9986-6A67874FDD66}" name="TablaDinámica7" cacheId="0" applyNumberFormats="0" applyBorderFormats="0" applyFontFormats="0" applyPatternFormats="0" applyAlignmentFormats="0" applyWidthHeightFormats="1" dataCaption="Valores" updatedVersion="8" minRefreshableVersion="3" showDrill="0" showDataTips="0" useAutoFormatting="1" rowGrandTotals="0" colGrandTotals="0" itemPrintTitles="1" createdVersion="8" indent="0" showHeaders="0" outline="1" outlineData="1" multipleFieldFilters="0" chartFormat="11">
  <location ref="A3:B7" firstHeaderRow="1" firstDataRow="1" firstDataCol="1"/>
  <pivotFields count="7"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dataField="1" numFmtId="164" showAll="0">
      <items count="465">
        <item x="6"/>
        <item x="61"/>
        <item x="384"/>
        <item x="352"/>
        <item x="369"/>
        <item x="324"/>
        <item x="406"/>
        <item x="126"/>
        <item x="312"/>
        <item x="331"/>
        <item x="301"/>
        <item x="157"/>
        <item x="442"/>
        <item x="377"/>
        <item x="10"/>
        <item x="127"/>
        <item x="203"/>
        <item x="184"/>
        <item x="309"/>
        <item x="414"/>
        <item x="26"/>
        <item x="109"/>
        <item x="19"/>
        <item x="252"/>
        <item x="202"/>
        <item x="142"/>
        <item x="185"/>
        <item x="375"/>
        <item x="20"/>
        <item x="151"/>
        <item x="89"/>
        <item x="291"/>
        <item x="229"/>
        <item x="413"/>
        <item x="232"/>
        <item x="313"/>
        <item x="178"/>
        <item x="123"/>
        <item x="282"/>
        <item x="215"/>
        <item x="335"/>
        <item x="295"/>
        <item x="105"/>
        <item x="338"/>
        <item x="92"/>
        <item x="175"/>
        <item x="140"/>
        <item x="66"/>
        <item x="245"/>
        <item x="53"/>
        <item x="119"/>
        <item x="261"/>
        <item x="307"/>
        <item x="16"/>
        <item x="32"/>
        <item x="374"/>
        <item x="54"/>
        <item x="174"/>
        <item x="180"/>
        <item x="68"/>
        <item x="378"/>
        <item x="159"/>
        <item x="59"/>
        <item x="424"/>
        <item x="267"/>
        <item x="84"/>
        <item x="106"/>
        <item x="367"/>
        <item x="104"/>
        <item x="125"/>
        <item x="292"/>
        <item x="76"/>
        <item x="411"/>
        <item x="318"/>
        <item x="397"/>
        <item x="211"/>
        <item x="102"/>
        <item x="95"/>
        <item x="396"/>
        <item x="257"/>
        <item x="337"/>
        <item x="136"/>
        <item x="390"/>
        <item x="285"/>
        <item x="260"/>
        <item x="205"/>
        <item x="398"/>
        <item x="181"/>
        <item x="401"/>
        <item x="91"/>
        <item x="278"/>
        <item x="46"/>
        <item x="25"/>
        <item x="432"/>
        <item x="78"/>
        <item x="275"/>
        <item x="7"/>
        <item x="457"/>
        <item x="114"/>
        <item x="311"/>
        <item x="298"/>
        <item x="418"/>
        <item x="224"/>
        <item x="208"/>
        <item x="429"/>
        <item x="343"/>
        <item x="154"/>
        <item x="276"/>
        <item x="425"/>
        <item x="4"/>
        <item x="319"/>
        <item x="206"/>
        <item x="364"/>
        <item x="316"/>
        <item x="74"/>
        <item x="440"/>
        <item x="230"/>
        <item x="96"/>
        <item x="410"/>
        <item x="328"/>
        <item x="296"/>
        <item x="256"/>
        <item x="420"/>
        <item x="88"/>
        <item x="212"/>
        <item x="121"/>
        <item x="129"/>
        <item x="361"/>
        <item x="156"/>
        <item x="408"/>
        <item x="259"/>
        <item x="227"/>
        <item x="29"/>
        <item x="438"/>
        <item x="294"/>
        <item x="35"/>
        <item x="372"/>
        <item x="134"/>
        <item x="60"/>
        <item x="451"/>
        <item x="138"/>
        <item x="349"/>
        <item x="248"/>
        <item x="258"/>
        <item x="238"/>
        <item x="58"/>
        <item x="30"/>
        <item x="370"/>
        <item x="171"/>
        <item x="376"/>
        <item x="172"/>
        <item x="458"/>
        <item x="303"/>
        <item x="5"/>
        <item x="39"/>
        <item x="323"/>
        <item x="67"/>
        <item x="419"/>
        <item x="28"/>
        <item x="189"/>
        <item x="3"/>
        <item x="251"/>
        <item x="234"/>
        <item x="137"/>
        <item x="322"/>
        <item x="266"/>
        <item x="308"/>
        <item x="358"/>
        <item x="437"/>
        <item x="404"/>
        <item x="72"/>
        <item x="45"/>
        <item x="415"/>
        <item x="13"/>
        <item x="124"/>
        <item x="190"/>
        <item x="103"/>
        <item x="460"/>
        <item x="199"/>
        <item x="379"/>
        <item x="368"/>
        <item x="381"/>
        <item x="193"/>
        <item x="359"/>
        <item x="120"/>
        <item x="263"/>
        <item x="99"/>
        <item x="239"/>
        <item x="51"/>
        <item x="143"/>
        <item x="233"/>
        <item x="441"/>
        <item x="11"/>
        <item x="170"/>
        <item x="128"/>
        <item x="327"/>
        <item x="133"/>
        <item x="152"/>
        <item x="107"/>
        <item x="277"/>
        <item x="131"/>
        <item x="356"/>
        <item x="433"/>
        <item x="82"/>
        <item x="130"/>
        <item x="40"/>
        <item x="37"/>
        <item x="86"/>
        <item x="286"/>
        <item x="64"/>
        <item x="284"/>
        <item x="56"/>
        <item x="62"/>
        <item x="431"/>
        <item x="228"/>
        <item x="391"/>
        <item x="21"/>
        <item x="108"/>
        <item x="293"/>
        <item x="405"/>
        <item x="357"/>
        <item x="47"/>
        <item x="302"/>
        <item x="427"/>
        <item x="18"/>
        <item x="57"/>
        <item x="380"/>
        <item x="255"/>
        <item x="85"/>
        <item x="403"/>
        <item x="50"/>
        <item x="33"/>
        <item x="430"/>
        <item x="179"/>
        <item x="36"/>
        <item x="455"/>
        <item x="52"/>
        <item x="240"/>
        <item x="145"/>
        <item x="188"/>
        <item x="27"/>
        <item x="306"/>
        <item x="162"/>
        <item x="412"/>
        <item x="454"/>
        <item x="371"/>
        <item x="271"/>
        <item x="43"/>
        <item x="1"/>
        <item x="111"/>
        <item x="273"/>
        <item x="81"/>
        <item x="435"/>
        <item x="187"/>
        <item x="336"/>
        <item x="141"/>
        <item x="24"/>
        <item x="417"/>
        <item x="334"/>
        <item x="113"/>
        <item x="243"/>
        <item x="235"/>
        <item x="148"/>
        <item x="186"/>
        <item x="221"/>
        <item x="182"/>
        <item x="354"/>
        <item x="315"/>
        <item x="93"/>
        <item x="55"/>
        <item x="290"/>
        <item x="421"/>
        <item x="326"/>
        <item x="426"/>
        <item x="400"/>
        <item x="247"/>
        <item x="389"/>
        <item x="146"/>
        <item x="222"/>
        <item x="459"/>
        <item x="216"/>
        <item x="297"/>
        <item x="270"/>
        <item x="462"/>
        <item x="274"/>
        <item x="299"/>
        <item x="445"/>
        <item x="83"/>
        <item x="283"/>
        <item x="48"/>
        <item x="281"/>
        <item x="347"/>
        <item x="200"/>
        <item x="23"/>
        <item x="97"/>
        <item x="209"/>
        <item x="333"/>
        <item x="226"/>
        <item x="325"/>
        <item x="71"/>
        <item x="383"/>
        <item x="407"/>
        <item x="242"/>
        <item x="345"/>
        <item x="22"/>
        <item x="14"/>
        <item x="195"/>
        <item x="288"/>
        <item x="213"/>
        <item x="444"/>
        <item x="244"/>
        <item x="320"/>
        <item x="217"/>
        <item x="463"/>
        <item x="365"/>
        <item x="268"/>
        <item x="100"/>
        <item x="176"/>
        <item x="167"/>
        <item x="75"/>
        <item x="150"/>
        <item x="214"/>
        <item x="272"/>
        <item x="49"/>
        <item x="262"/>
        <item x="2"/>
        <item x="41"/>
        <item x="132"/>
        <item x="434"/>
        <item x="332"/>
        <item x="399"/>
        <item x="116"/>
        <item x="173"/>
        <item x="183"/>
        <item x="65"/>
        <item x="177"/>
        <item x="300"/>
        <item x="197"/>
        <item x="339"/>
        <item x="269"/>
        <item x="387"/>
        <item x="386"/>
        <item x="112"/>
        <item x="8"/>
        <item x="225"/>
        <item x="201"/>
        <item x="351"/>
        <item x="158"/>
        <item x="346"/>
        <item x="219"/>
        <item x="110"/>
        <item x="360"/>
        <item x="194"/>
        <item x="210"/>
        <item x="393"/>
        <item x="310"/>
        <item x="204"/>
        <item x="38"/>
        <item x="94"/>
        <item x="392"/>
        <item x="446"/>
        <item x="385"/>
        <item x="394"/>
        <item x="12"/>
        <item x="279"/>
        <item x="153"/>
        <item x="373"/>
        <item x="169"/>
        <item x="363"/>
        <item x="423"/>
        <item x="362"/>
        <item x="264"/>
        <item x="135"/>
        <item x="382"/>
        <item x="314"/>
        <item x="321"/>
        <item x="428"/>
        <item x="317"/>
        <item x="207"/>
        <item x="9"/>
        <item x="452"/>
        <item x="448"/>
        <item x="31"/>
        <item x="348"/>
        <item x="144"/>
        <item x="168"/>
        <item x="166"/>
        <item x="241"/>
        <item x="287"/>
        <item x="80"/>
        <item x="409"/>
        <item x="34"/>
        <item x="422"/>
        <item x="191"/>
        <item x="117"/>
        <item x="160"/>
        <item x="42"/>
        <item x="73"/>
        <item x="165"/>
        <item x="449"/>
        <item x="122"/>
        <item x="305"/>
        <item x="198"/>
        <item x="44"/>
        <item x="17"/>
        <item x="15"/>
        <item x="304"/>
        <item x="353"/>
        <item x="342"/>
        <item x="164"/>
        <item x="461"/>
        <item x="350"/>
        <item x="98"/>
        <item x="87"/>
        <item x="149"/>
        <item x="196"/>
        <item x="90"/>
        <item x="161"/>
        <item x="341"/>
        <item x="147"/>
        <item x="246"/>
        <item x="395"/>
        <item x="366"/>
        <item x="63"/>
        <item x="443"/>
        <item x="69"/>
        <item x="139"/>
        <item x="453"/>
        <item x="330"/>
        <item x="115"/>
        <item x="70"/>
        <item x="436"/>
        <item x="340"/>
        <item x="237"/>
        <item x="223"/>
        <item x="77"/>
        <item x="416"/>
        <item x="249"/>
        <item x="231"/>
        <item x="236"/>
        <item x="155"/>
        <item x="79"/>
        <item x="118"/>
        <item x="253"/>
        <item x="265"/>
        <item x="280"/>
        <item x="344"/>
        <item x="218"/>
        <item x="289"/>
        <item x="192"/>
        <item x="0"/>
        <item x="355"/>
        <item x="456"/>
        <item x="220"/>
        <item x="402"/>
        <item x="254"/>
        <item x="250"/>
        <item x="450"/>
        <item x="329"/>
        <item x="101"/>
        <item x="447"/>
        <item x="163"/>
        <item x="439"/>
        <item x="388"/>
        <item t="default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a de Valor total de la operación" fld="6" showDataAs="percentOfTotal" baseField="2" baseItem="0" numFmtId="1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D3E3B-8383-482B-BFF1-948F4B4276A4}" name="Tabla1" displayName="Tabla1" ref="A1:I508" totalsRowShown="0">
  <autoFilter ref="A1:I508" xr:uid="{265D3E3B-8383-482B-BFF1-948F4B4276A4}"/>
  <sortState xmlns:xlrd2="http://schemas.microsoft.com/office/spreadsheetml/2017/richdata2" ref="A2:I508">
    <sortCondition ref="B1:B508"/>
  </sortState>
  <tableColumns count="9">
    <tableColumn id="1" xr3:uid="{59966C47-6A95-423D-8F3B-95376275C5D9}" name="Columna2" dataDxfId="4"/>
    <tableColumn id="9" xr3:uid="{22B2F1BB-2052-490C-AF3F-923606133985}" name="Fecha de la operación" dataDxfId="3">
      <calculatedColumnFormula>DATEVALUE(Tabla1[[#This Row],[Columna2]])</calculatedColumnFormula>
    </tableColumn>
    <tableColumn id="2" xr3:uid="{4E119DBF-77D0-48A0-B242-D44D209747AC}" name="Ubicación (Provincia)"/>
    <tableColumn id="3" xr3:uid="{F63CAD0B-93FC-410B-B5D9-10B45FF93735}" name="Segmento de cliente"/>
    <tableColumn id="4" xr3:uid="{D727FDB2-8467-40E2-8702-EB48281136F5}" name="Categoría del piloto responsable">
      <calculatedColumnFormula array="1">_xlfn.IFS(D2="Eventos particulares","Piloto Junior 1",D2="Federaciones y asociaciones deportivas","Piloto Junior 2",D2="Inspecciones agrícolas","Piloto Senior 1",D2="Inspecciones técnicas","Piloto Senior 2")</calculatedColumnFormula>
    </tableColumn>
    <tableColumn id="5" xr3:uid="{D0C923A2-C264-44B6-A283-09770FDC45B3}" name="Horas de trabajo"/>
    <tableColumn id="6" xr3:uid="{D9999DAC-0E8C-493D-ABF1-04ADDA9EB52A}" name="Columna1" dataDxfId="2">
      <calculatedColumnFormula array="1">_xlfn.IFS(D2="Eventos particulares","225",D2="Federaciones y asociaciones deportivas","250",D2="Inspecciones agrícolas","275",D2="Inspecciones técnicas","300")</calculatedColumnFormula>
    </tableColumn>
    <tableColumn id="8" xr3:uid="{EE8A89E6-A5FE-40DD-A977-8905D96BECED}" name="Valor de la hora de trabajo" dataDxfId="1">
      <calculatedColumnFormula>VALUE(Tabla1[[#This Row],[Columna1]])</calculatedColumnFormula>
    </tableColumn>
    <tableColumn id="7" xr3:uid="{5B41741B-F9DE-4D76-88F9-AD1F079A9B93}" name="Valor total de la operación" dataDxfId="0">
      <calculatedColumnFormula>F2*H2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I508"/>
  <sheetViews>
    <sheetView showOutlineSymbols="0" showWhiteSpace="0" topLeftCell="C1" workbookViewId="0">
      <selection activeCell="B1" sqref="B1"/>
    </sheetView>
  </sheetViews>
  <sheetFormatPr baseColWidth="10" defaultColWidth="9" defaultRowHeight="14.25" x14ac:dyDescent="0.2"/>
  <cols>
    <col min="1" max="1" width="22.5" hidden="1" customWidth="1"/>
    <col min="2" max="2" width="22.5" customWidth="1"/>
    <col min="3" max="3" width="21.875" bestFit="1" customWidth="1"/>
    <col min="4" max="4" width="34" bestFit="1" customWidth="1"/>
    <col min="5" max="5" width="32.125" bestFit="1" customWidth="1"/>
    <col min="6" max="6" width="17.5" bestFit="1" customWidth="1"/>
    <col min="7" max="7" width="26.25" hidden="1" customWidth="1"/>
    <col min="8" max="8" width="26.25" customWidth="1"/>
    <col min="9" max="9" width="26.125" bestFit="1" customWidth="1"/>
  </cols>
  <sheetData>
    <row r="1" spans="1:9" x14ac:dyDescent="0.2">
      <c r="A1" t="s">
        <v>305</v>
      </c>
      <c r="B1" t="s">
        <v>0</v>
      </c>
      <c r="C1" t="s">
        <v>283</v>
      </c>
      <c r="D1" t="s">
        <v>1</v>
      </c>
      <c r="E1" t="s">
        <v>282</v>
      </c>
      <c r="F1" t="s">
        <v>2</v>
      </c>
      <c r="G1" t="s">
        <v>304</v>
      </c>
      <c r="H1" t="s">
        <v>280</v>
      </c>
      <c r="I1" t="s">
        <v>281</v>
      </c>
    </row>
    <row r="2" spans="1:9" x14ac:dyDescent="0.2">
      <c r="A2" s="12" t="s">
        <v>94</v>
      </c>
      <c r="B2" s="12">
        <f>DATEVALUE(Tabla1[[#This Row],[Columna2]])</f>
        <v>45292</v>
      </c>
      <c r="C2" t="s">
        <v>284</v>
      </c>
      <c r="D2" t="s">
        <v>4</v>
      </c>
      <c r="E2" t="str" cm="1">
        <f t="array" ref="E2">_xlfn.IFS(D2="Eventos particulares","Piloto Junior 1",D2="Federaciones y asociaciones deportivas","Piloto Junior 2",D2="Inspecciones agrícolas","Piloto Senior 1",D2="Inspecciones técnicas","Piloto Senior 2")</f>
        <v>Piloto Senior 2</v>
      </c>
      <c r="F2">
        <v>15.43</v>
      </c>
      <c r="G2" s="1" t="str" cm="1">
        <f t="array" ref="G2">_xlfn.IFS(D2="Eventos particulares","225",D2="Federaciones y asociaciones deportivas","250",D2="Inspecciones agrícolas","275",D2="Inspecciones técnicas","300")</f>
        <v>300</v>
      </c>
      <c r="H2" s="1">
        <f>VALUE(Tabla1[[#This Row],[Columna1]])</f>
        <v>300</v>
      </c>
      <c r="I2" s="1">
        <f t="shared" ref="I2:I65" si="0">F2*H2</f>
        <v>4629</v>
      </c>
    </row>
    <row r="3" spans="1:9" x14ac:dyDescent="0.2">
      <c r="A3" s="12" t="s">
        <v>222</v>
      </c>
      <c r="B3" s="12">
        <f>DATEVALUE(Tabla1[[#This Row],[Columna2]])</f>
        <v>45294</v>
      </c>
      <c r="C3" t="s">
        <v>285</v>
      </c>
      <c r="D3" t="s">
        <v>4</v>
      </c>
      <c r="E3" t="str" cm="1">
        <f t="array" ref="E3">_xlfn.IFS(D3="Eventos particulares","Piloto Junior 1",D3="Federaciones y asociaciones deportivas","Piloto Junior 2",D3="Inspecciones agrícolas","Piloto Senior 1",D3="Inspecciones técnicas","Piloto Senior 2")</f>
        <v>Piloto Senior 2</v>
      </c>
      <c r="F3">
        <v>12.75</v>
      </c>
      <c r="G3" s="1" t="str" cm="1">
        <f t="array" ref="G3">_xlfn.IFS(D3="Eventos particulares","225",D3="Federaciones y asociaciones deportivas","250",D3="Inspecciones agrícolas","275",D3="Inspecciones técnicas","300")</f>
        <v>300</v>
      </c>
      <c r="H3" s="1">
        <f>VALUE(Tabla1[[#This Row],[Columna1]])</f>
        <v>300</v>
      </c>
      <c r="I3" s="1">
        <f t="shared" si="0"/>
        <v>3825</v>
      </c>
    </row>
    <row r="4" spans="1:9" x14ac:dyDescent="0.2">
      <c r="A4" s="12" t="s">
        <v>83</v>
      </c>
      <c r="B4" s="12">
        <f>DATEVALUE(Tabla1[[#This Row],[Columna2]])</f>
        <v>45295</v>
      </c>
      <c r="C4" t="s">
        <v>284</v>
      </c>
      <c r="D4" t="s">
        <v>12</v>
      </c>
      <c r="E4" t="str" cm="1">
        <f t="array" ref="E4">_xlfn.IFS(D4="Eventos particulares","Piloto Junior 1",D4="Federaciones y asociaciones deportivas","Piloto Junior 2",D4="Inspecciones agrícolas","Piloto Senior 1",D4="Inspecciones técnicas","Piloto Senior 2")</f>
        <v>Piloto Junior 1</v>
      </c>
      <c r="F4">
        <v>10.67</v>
      </c>
      <c r="G4" s="1" t="str" cm="1">
        <f t="array" ref="G4">_xlfn.IFS(D4="Eventos particulares","225",D4="Federaciones y asociaciones deportivas","250",D4="Inspecciones agrícolas","275",D4="Inspecciones técnicas","300")</f>
        <v>225</v>
      </c>
      <c r="H4" s="1">
        <f>VALUE(Tabla1[[#This Row],[Columna1]])</f>
        <v>225</v>
      </c>
      <c r="I4" s="1">
        <f t="shared" si="0"/>
        <v>2400.75</v>
      </c>
    </row>
    <row r="5" spans="1:9" x14ac:dyDescent="0.2">
      <c r="A5" s="12" t="s">
        <v>150</v>
      </c>
      <c r="B5" s="12">
        <f>DATEVALUE(Tabla1[[#This Row],[Columna2]])</f>
        <v>45296</v>
      </c>
      <c r="C5" t="s">
        <v>284</v>
      </c>
      <c r="D5" t="s">
        <v>4</v>
      </c>
      <c r="E5" t="str" cm="1">
        <f t="array" ref="E5">_xlfn.IFS(D5="Eventos particulares","Piloto Junior 1",D5="Federaciones y asociaciones deportivas","Piloto Junior 2",D5="Inspecciones agrícolas","Piloto Senior 1",D5="Inspecciones técnicas","Piloto Senior 2")</f>
        <v>Piloto Senior 2</v>
      </c>
      <c r="F5">
        <v>14</v>
      </c>
      <c r="G5" s="1" t="str" cm="1">
        <f t="array" ref="G5">_xlfn.IFS(D5="Eventos particulares","225",D5="Federaciones y asociaciones deportivas","250",D5="Inspecciones agrícolas","275",D5="Inspecciones técnicas","300")</f>
        <v>300</v>
      </c>
      <c r="H5" s="1">
        <f>VALUE(Tabla1[[#This Row],[Columna1]])</f>
        <v>300</v>
      </c>
      <c r="I5" s="1">
        <f t="shared" si="0"/>
        <v>4200</v>
      </c>
    </row>
    <row r="6" spans="1:9" x14ac:dyDescent="0.2">
      <c r="A6" s="12" t="s">
        <v>150</v>
      </c>
      <c r="B6" s="12">
        <f>DATEVALUE(Tabla1[[#This Row],[Columna2]])</f>
        <v>45296</v>
      </c>
      <c r="C6" t="s">
        <v>287</v>
      </c>
      <c r="D6" t="s">
        <v>4</v>
      </c>
      <c r="E6" t="str" cm="1">
        <f t="array" ref="E6">_xlfn.IFS(D6="Eventos particulares","Piloto Junior 1",D6="Federaciones y asociaciones deportivas","Piloto Junior 2",D6="Inspecciones agrícolas","Piloto Senior 1",D6="Inspecciones técnicas","Piloto Senior 2")</f>
        <v>Piloto Senior 2</v>
      </c>
      <c r="F6">
        <v>8.51</v>
      </c>
      <c r="G6" s="1" t="str" cm="1">
        <f t="array" ref="G6">_xlfn.IFS(D6="Eventos particulares","225",D6="Federaciones y asociaciones deportivas","250",D6="Inspecciones agrícolas","275",D6="Inspecciones técnicas","300")</f>
        <v>300</v>
      </c>
      <c r="H6" s="1">
        <f>VALUE(Tabla1[[#This Row],[Columna1]])</f>
        <v>300</v>
      </c>
      <c r="I6" s="1">
        <f t="shared" si="0"/>
        <v>2553</v>
      </c>
    </row>
    <row r="7" spans="1:9" x14ac:dyDescent="0.2">
      <c r="A7" s="12" t="s">
        <v>150</v>
      </c>
      <c r="B7" s="12">
        <f>DATEVALUE(Tabla1[[#This Row],[Columna2]])</f>
        <v>45296</v>
      </c>
      <c r="C7" t="s">
        <v>287</v>
      </c>
      <c r="D7" t="s">
        <v>12</v>
      </c>
      <c r="E7" t="str" cm="1">
        <f t="array" ref="E7">_xlfn.IFS(D7="Eventos particulares","Piloto Junior 1",D7="Federaciones y asociaciones deportivas","Piloto Junior 2",D7="Inspecciones agrícolas","Piloto Senior 1",D7="Inspecciones técnicas","Piloto Senior 2")</f>
        <v>Piloto Junior 1</v>
      </c>
      <c r="F7">
        <v>15.27</v>
      </c>
      <c r="G7" s="1" t="str" cm="1">
        <f t="array" ref="G7">_xlfn.IFS(D7="Eventos particulares","225",D7="Federaciones y asociaciones deportivas","250",D7="Inspecciones agrícolas","275",D7="Inspecciones técnicas","300")</f>
        <v>225</v>
      </c>
      <c r="H7" s="1">
        <f>VALUE(Tabla1[[#This Row],[Columna1]])</f>
        <v>225</v>
      </c>
      <c r="I7" s="1">
        <f t="shared" si="0"/>
        <v>3435.75</v>
      </c>
    </row>
    <row r="8" spans="1:9" x14ac:dyDescent="0.2">
      <c r="A8" s="12" t="s">
        <v>198</v>
      </c>
      <c r="B8" s="12">
        <f>DATEVALUE(Tabla1[[#This Row],[Columna2]])</f>
        <v>45298</v>
      </c>
      <c r="C8" t="s">
        <v>285</v>
      </c>
      <c r="D8" t="s">
        <v>12</v>
      </c>
      <c r="E8" t="str" cm="1">
        <f t="array" ref="E8">_xlfn.IFS(D8="Eventos particulares","Piloto Junior 1",D8="Federaciones y asociaciones deportivas","Piloto Junior 2",D8="Inspecciones agrícolas","Piloto Senior 1",D8="Inspecciones técnicas","Piloto Senior 2")</f>
        <v>Piloto Junior 1</v>
      </c>
      <c r="F8">
        <v>10.62</v>
      </c>
      <c r="G8" s="1" t="str" cm="1">
        <f t="array" ref="G8">_xlfn.IFS(D8="Eventos particulares","225",D8="Federaciones y asociaciones deportivas","250",D8="Inspecciones agrícolas","275",D8="Inspecciones técnicas","300")</f>
        <v>225</v>
      </c>
      <c r="H8" s="1">
        <f>VALUE(Tabla1[[#This Row],[Columna1]])</f>
        <v>225</v>
      </c>
      <c r="I8" s="1">
        <f t="shared" si="0"/>
        <v>2389.5</v>
      </c>
    </row>
    <row r="9" spans="1:9" x14ac:dyDescent="0.2">
      <c r="A9" s="12" t="s">
        <v>177</v>
      </c>
      <c r="B9" s="12">
        <f>DATEVALUE(Tabla1[[#This Row],[Columna2]])</f>
        <v>45300</v>
      </c>
      <c r="C9" t="s">
        <v>285</v>
      </c>
      <c r="D9" t="s">
        <v>17</v>
      </c>
      <c r="E9" t="str" cm="1">
        <f t="array" ref="E9">_xlfn.IFS(D9="Eventos particulares","Piloto Junior 1",D9="Federaciones y asociaciones deportivas","Piloto Junior 2",D9="Inspecciones agrícolas","Piloto Senior 1",D9="Inspecciones técnicas","Piloto Senior 2")</f>
        <v>Piloto Senior 1</v>
      </c>
      <c r="F9">
        <v>7.1</v>
      </c>
      <c r="G9" s="1" t="str" cm="1">
        <f t="array" ref="G9">_xlfn.IFS(D9="Eventos particulares","225",D9="Federaciones y asociaciones deportivas","250",D9="Inspecciones agrícolas","275",D9="Inspecciones técnicas","300")</f>
        <v>275</v>
      </c>
      <c r="H9" s="1">
        <f>VALUE(Tabla1[[#This Row],[Columna1]])</f>
        <v>275</v>
      </c>
      <c r="I9" s="1">
        <f t="shared" si="0"/>
        <v>1952.5</v>
      </c>
    </row>
    <row r="10" spans="1:9" x14ac:dyDescent="0.2">
      <c r="A10" s="12" t="s">
        <v>177</v>
      </c>
      <c r="B10" s="12">
        <f>DATEVALUE(Tabla1[[#This Row],[Columna2]])</f>
        <v>45300</v>
      </c>
      <c r="C10" t="s">
        <v>287</v>
      </c>
      <c r="D10" t="s">
        <v>4</v>
      </c>
      <c r="E10" t="str" cm="1">
        <f t="array" ref="E10">_xlfn.IFS(D10="Eventos particulares","Piloto Junior 1",D10="Federaciones y asociaciones deportivas","Piloto Junior 2",D10="Inspecciones agrícolas","Piloto Senior 1",D10="Inspecciones técnicas","Piloto Senior 2")</f>
        <v>Piloto Senior 2</v>
      </c>
      <c r="F10">
        <v>13.26</v>
      </c>
      <c r="G10" s="1" t="str" cm="1">
        <f t="array" ref="G10">_xlfn.IFS(D10="Eventos particulares","225",D10="Federaciones y asociaciones deportivas","250",D10="Inspecciones agrícolas","275",D10="Inspecciones técnicas","300")</f>
        <v>300</v>
      </c>
      <c r="H10" s="1">
        <f>VALUE(Tabla1[[#This Row],[Columna1]])</f>
        <v>300</v>
      </c>
      <c r="I10" s="1">
        <f t="shared" si="0"/>
        <v>3978</v>
      </c>
    </row>
    <row r="11" spans="1:9" x14ac:dyDescent="0.2">
      <c r="A11" s="12" t="s">
        <v>177</v>
      </c>
      <c r="B11" s="12">
        <f>DATEVALUE(Tabla1[[#This Row],[Columna2]])</f>
        <v>45300</v>
      </c>
      <c r="C11" t="s">
        <v>287</v>
      </c>
      <c r="D11" t="s">
        <v>17</v>
      </c>
      <c r="E11" t="str" cm="1">
        <f t="array" ref="E11">_xlfn.IFS(D11="Eventos particulares","Piloto Junior 1",D11="Federaciones y asociaciones deportivas","Piloto Junior 2",D11="Inspecciones agrícolas","Piloto Senior 1",D11="Inspecciones técnicas","Piloto Senior 2")</f>
        <v>Piloto Senior 1</v>
      </c>
      <c r="F11">
        <v>4.8600000000000003</v>
      </c>
      <c r="G11" s="1" t="str" cm="1">
        <f t="array" ref="G11">_xlfn.IFS(D11="Eventos particulares","225",D11="Federaciones y asociaciones deportivas","250",D11="Inspecciones agrícolas","275",D11="Inspecciones técnicas","300")</f>
        <v>275</v>
      </c>
      <c r="H11" s="1">
        <f>VALUE(Tabla1[[#This Row],[Columna1]])</f>
        <v>275</v>
      </c>
      <c r="I11" s="1">
        <f t="shared" si="0"/>
        <v>1336.5</v>
      </c>
    </row>
    <row r="12" spans="1:9" x14ac:dyDescent="0.2">
      <c r="A12" s="12" t="s">
        <v>121</v>
      </c>
      <c r="B12" s="12">
        <f>DATEVALUE(Tabla1[[#This Row],[Columna2]])</f>
        <v>45302</v>
      </c>
      <c r="C12" t="s">
        <v>284</v>
      </c>
      <c r="D12" t="s">
        <v>4</v>
      </c>
      <c r="E12" t="str" cm="1">
        <f t="array" ref="E12">_xlfn.IFS(D12="Eventos particulares","Piloto Junior 1",D12="Federaciones y asociaciones deportivas","Piloto Junior 2",D12="Inspecciones agrícolas","Piloto Senior 1",D12="Inspecciones técnicas","Piloto Senior 2")</f>
        <v>Piloto Senior 2</v>
      </c>
      <c r="F12">
        <v>13.84</v>
      </c>
      <c r="G12" s="1" t="str" cm="1">
        <f t="array" ref="G12">_xlfn.IFS(D12="Eventos particulares","225",D12="Federaciones y asociaciones deportivas","250",D12="Inspecciones agrícolas","275",D12="Inspecciones técnicas","300")</f>
        <v>300</v>
      </c>
      <c r="H12" s="1">
        <f>VALUE(Tabla1[[#This Row],[Columna1]])</f>
        <v>300</v>
      </c>
      <c r="I12" s="1">
        <f t="shared" si="0"/>
        <v>4152</v>
      </c>
    </row>
    <row r="13" spans="1:9" x14ac:dyDescent="0.2">
      <c r="A13" s="12" t="s">
        <v>121</v>
      </c>
      <c r="B13" s="12">
        <f>DATEVALUE(Tabla1[[#This Row],[Columna2]])</f>
        <v>45302</v>
      </c>
      <c r="C13" t="s">
        <v>284</v>
      </c>
      <c r="D13" t="s">
        <v>12</v>
      </c>
      <c r="E13" t="str" cm="1">
        <f t="array" ref="E13">_xlfn.IFS(D13="Eventos particulares","Piloto Junior 1",D13="Federaciones y asociaciones deportivas","Piloto Junior 2",D13="Inspecciones agrícolas","Piloto Senior 1",D13="Inspecciones técnicas","Piloto Senior 2")</f>
        <v>Piloto Junior 1</v>
      </c>
      <c r="F13">
        <v>14.95</v>
      </c>
      <c r="G13" s="1" t="str" cm="1">
        <f t="array" ref="G13">_xlfn.IFS(D13="Eventos particulares","225",D13="Federaciones y asociaciones deportivas","250",D13="Inspecciones agrícolas","275",D13="Inspecciones técnicas","300")</f>
        <v>225</v>
      </c>
      <c r="H13" s="1">
        <f>VALUE(Tabla1[[#This Row],[Columna1]])</f>
        <v>225</v>
      </c>
      <c r="I13" s="1">
        <f t="shared" si="0"/>
        <v>3363.75</v>
      </c>
    </row>
    <row r="14" spans="1:9" x14ac:dyDescent="0.2">
      <c r="A14" s="12" t="s">
        <v>174</v>
      </c>
      <c r="B14" s="12">
        <f>DATEVALUE(Tabla1[[#This Row],[Columna2]])</f>
        <v>45303</v>
      </c>
      <c r="C14" t="s">
        <v>285</v>
      </c>
      <c r="D14" t="s">
        <v>4</v>
      </c>
      <c r="E14" t="str" cm="1">
        <f t="array" ref="E14">_xlfn.IFS(D14="Eventos particulares","Piloto Junior 1",D14="Federaciones y asociaciones deportivas","Piloto Junior 2",D14="Inspecciones agrícolas","Piloto Senior 1",D14="Inspecciones técnicas","Piloto Senior 2")</f>
        <v>Piloto Senior 2</v>
      </c>
      <c r="F14">
        <v>13.23</v>
      </c>
      <c r="G14" s="1" t="str" cm="1">
        <f t="array" ref="G14">_xlfn.IFS(D14="Eventos particulares","225",D14="Federaciones y asociaciones deportivas","250",D14="Inspecciones agrícolas","275",D14="Inspecciones técnicas","300")</f>
        <v>300</v>
      </c>
      <c r="H14" s="1">
        <f>VALUE(Tabla1[[#This Row],[Columna1]])</f>
        <v>300</v>
      </c>
      <c r="I14" s="1">
        <f t="shared" si="0"/>
        <v>3969</v>
      </c>
    </row>
    <row r="15" spans="1:9" x14ac:dyDescent="0.2">
      <c r="A15" s="12" t="s">
        <v>181</v>
      </c>
      <c r="B15" s="12">
        <f>DATEVALUE(Tabla1[[#This Row],[Columna2]])</f>
        <v>45304</v>
      </c>
      <c r="C15" t="s">
        <v>285</v>
      </c>
      <c r="D15" t="s">
        <v>12</v>
      </c>
      <c r="E15" t="str" cm="1">
        <f t="array" ref="E15">_xlfn.IFS(D15="Eventos particulares","Piloto Junior 1",D15="Federaciones y asociaciones deportivas","Piloto Junior 2",D15="Inspecciones agrícolas","Piloto Senior 1",D15="Inspecciones técnicas","Piloto Senior 2")</f>
        <v>Piloto Junior 1</v>
      </c>
      <c r="F15">
        <v>12.15</v>
      </c>
      <c r="G15" s="1" t="str" cm="1">
        <f t="array" ref="G15">_xlfn.IFS(D15="Eventos particulares","225",D15="Federaciones y asociaciones deportivas","250",D15="Inspecciones agrícolas","275",D15="Inspecciones técnicas","300")</f>
        <v>225</v>
      </c>
      <c r="H15" s="1">
        <f>VALUE(Tabla1[[#This Row],[Columna1]])</f>
        <v>225</v>
      </c>
      <c r="I15" s="1">
        <f t="shared" si="0"/>
        <v>2733.75</v>
      </c>
    </row>
    <row r="16" spans="1:9" x14ac:dyDescent="0.2">
      <c r="A16" s="12" t="s">
        <v>251</v>
      </c>
      <c r="B16" s="12">
        <f>DATEVALUE(Tabla1[[#This Row],[Columna2]])</f>
        <v>45305</v>
      </c>
      <c r="C16" t="s">
        <v>286</v>
      </c>
      <c r="D16" t="s">
        <v>17</v>
      </c>
      <c r="E16" t="str" cm="1">
        <f t="array" ref="E16">_xlfn.IFS(D16="Eventos particulares","Piloto Junior 1",D16="Federaciones y asociaciones deportivas","Piloto Junior 2",D16="Inspecciones agrícolas","Piloto Senior 1",D16="Inspecciones técnicas","Piloto Senior 2")</f>
        <v>Piloto Senior 1</v>
      </c>
      <c r="F16">
        <v>12.71</v>
      </c>
      <c r="G16" s="1" t="str" cm="1">
        <f t="array" ref="G16">_xlfn.IFS(D16="Eventos particulares","225",D16="Federaciones y asociaciones deportivas","250",D16="Inspecciones agrícolas","275",D16="Inspecciones técnicas","300")</f>
        <v>275</v>
      </c>
      <c r="H16" s="1">
        <f>VALUE(Tabla1[[#This Row],[Columna1]])</f>
        <v>275</v>
      </c>
      <c r="I16" s="1">
        <f t="shared" si="0"/>
        <v>3495.2500000000005</v>
      </c>
    </row>
    <row r="17" spans="1:9" x14ac:dyDescent="0.2">
      <c r="A17" s="12" t="s">
        <v>251</v>
      </c>
      <c r="B17" s="12">
        <f>DATEVALUE(Tabla1[[#This Row],[Columna2]])</f>
        <v>45305</v>
      </c>
      <c r="C17" t="s">
        <v>287</v>
      </c>
      <c r="D17" t="s">
        <v>4</v>
      </c>
      <c r="E17" t="str" cm="1">
        <f t="array" ref="E17">_xlfn.IFS(D17="Eventos particulares","Piloto Junior 1",D17="Federaciones y asociaciones deportivas","Piloto Junior 2",D17="Inspecciones agrícolas","Piloto Senior 1",D17="Inspecciones técnicas","Piloto Senior 2")</f>
        <v>Piloto Senior 2</v>
      </c>
      <c r="F17">
        <v>4.18</v>
      </c>
      <c r="G17" s="1" t="str" cm="1">
        <f t="array" ref="G17">_xlfn.IFS(D17="Eventos particulares","225",D17="Federaciones y asociaciones deportivas","250",D17="Inspecciones agrícolas","275",D17="Inspecciones técnicas","300")</f>
        <v>300</v>
      </c>
      <c r="H17" s="1">
        <f>VALUE(Tabla1[[#This Row],[Columna1]])</f>
        <v>300</v>
      </c>
      <c r="I17" s="1">
        <f t="shared" si="0"/>
        <v>1254</v>
      </c>
    </row>
    <row r="18" spans="1:9" x14ac:dyDescent="0.2">
      <c r="A18" s="12" t="s">
        <v>251</v>
      </c>
      <c r="B18" s="12">
        <f>DATEVALUE(Tabla1[[#This Row],[Columna2]])</f>
        <v>45305</v>
      </c>
      <c r="C18" t="s">
        <v>287</v>
      </c>
      <c r="D18" t="s">
        <v>12</v>
      </c>
      <c r="E18" t="str" cm="1">
        <f t="array" ref="E18">_xlfn.IFS(D18="Eventos particulares","Piloto Junior 1",D18="Federaciones y asociaciones deportivas","Piloto Junior 2",D18="Inspecciones agrícolas","Piloto Senior 1",D18="Inspecciones técnicas","Piloto Senior 2")</f>
        <v>Piloto Junior 1</v>
      </c>
      <c r="F18">
        <v>5.34</v>
      </c>
      <c r="G18" s="1" t="str" cm="1">
        <f t="array" ref="G18">_xlfn.IFS(D18="Eventos particulares","225",D18="Federaciones y asociaciones deportivas","250",D18="Inspecciones agrícolas","275",D18="Inspecciones técnicas","300")</f>
        <v>225</v>
      </c>
      <c r="H18" s="1">
        <f>VALUE(Tabla1[[#This Row],[Columna1]])</f>
        <v>225</v>
      </c>
      <c r="I18" s="1">
        <f t="shared" si="0"/>
        <v>1201.5</v>
      </c>
    </row>
    <row r="19" spans="1:9" x14ac:dyDescent="0.2">
      <c r="A19" s="12" t="s">
        <v>239</v>
      </c>
      <c r="B19" s="12">
        <f>DATEVALUE(Tabla1[[#This Row],[Columna2]])</f>
        <v>45306</v>
      </c>
      <c r="C19" t="s">
        <v>286</v>
      </c>
      <c r="D19" t="s">
        <v>4</v>
      </c>
      <c r="E19" t="str" cm="1">
        <f t="array" ref="E19">_xlfn.IFS(D19="Eventos particulares","Piloto Junior 1",D19="Federaciones y asociaciones deportivas","Piloto Junior 2",D19="Inspecciones agrícolas","Piloto Senior 1",D19="Inspecciones técnicas","Piloto Senior 2")</f>
        <v>Piloto Senior 2</v>
      </c>
      <c r="F19">
        <v>15.61</v>
      </c>
      <c r="G19" s="1" t="str" cm="1">
        <f t="array" ref="G19">_xlfn.IFS(D19="Eventos particulares","225",D19="Federaciones y asociaciones deportivas","250",D19="Inspecciones agrícolas","275",D19="Inspecciones técnicas","300")</f>
        <v>300</v>
      </c>
      <c r="H19" s="1">
        <f>VALUE(Tabla1[[#This Row],[Columna1]])</f>
        <v>300</v>
      </c>
      <c r="I19" s="1">
        <f t="shared" si="0"/>
        <v>4683</v>
      </c>
    </row>
    <row r="20" spans="1:9" x14ac:dyDescent="0.2">
      <c r="A20" s="12" t="s">
        <v>239</v>
      </c>
      <c r="B20" s="12">
        <f>DATEVALUE(Tabla1[[#This Row],[Columna2]])</f>
        <v>45306</v>
      </c>
      <c r="C20" t="s">
        <v>287</v>
      </c>
      <c r="D20" t="s">
        <v>12</v>
      </c>
      <c r="E20" t="str" cm="1">
        <f t="array" ref="E20">_xlfn.IFS(D20="Eventos particulares","Piloto Junior 1",D20="Federaciones y asociaciones deportivas","Piloto Junior 2",D20="Inspecciones agrícolas","Piloto Senior 1",D20="Inspecciones técnicas","Piloto Senior 2")</f>
        <v>Piloto Junior 1</v>
      </c>
      <c r="F20">
        <v>12.94</v>
      </c>
      <c r="G20" s="1" t="str" cm="1">
        <f t="array" ref="G20">_xlfn.IFS(D20="Eventos particulares","225",D20="Federaciones y asociaciones deportivas","250",D20="Inspecciones agrícolas","275",D20="Inspecciones técnicas","300")</f>
        <v>225</v>
      </c>
      <c r="H20" s="1">
        <f>VALUE(Tabla1[[#This Row],[Columna1]])</f>
        <v>225</v>
      </c>
      <c r="I20" s="1">
        <f t="shared" si="0"/>
        <v>2911.5</v>
      </c>
    </row>
    <row r="21" spans="1:9" x14ac:dyDescent="0.2">
      <c r="A21" s="12" t="s">
        <v>33</v>
      </c>
      <c r="B21" s="12">
        <f>DATEVALUE(Tabla1[[#This Row],[Columna2]])</f>
        <v>45309</v>
      </c>
      <c r="C21" t="s">
        <v>284</v>
      </c>
      <c r="D21" t="s">
        <v>6</v>
      </c>
      <c r="E21" t="str" cm="1">
        <f t="array" ref="E21">_xlfn.IFS(D21="Eventos particulares","Piloto Junior 1",D21="Federaciones y asociaciones deportivas","Piloto Junior 2",D21="Inspecciones agrícolas","Piloto Senior 1",D21="Inspecciones técnicas","Piloto Senior 2")</f>
        <v>Piloto Junior 2</v>
      </c>
      <c r="F21">
        <v>5.74</v>
      </c>
      <c r="G21" s="1" t="str" cm="1">
        <f t="array" ref="G21">_xlfn.IFS(D21="Eventos particulares","225",D21="Federaciones y asociaciones deportivas","250",D21="Inspecciones agrícolas","275",D21="Inspecciones técnicas","300")</f>
        <v>250</v>
      </c>
      <c r="H21" s="1">
        <f>VALUE(Tabla1[[#This Row],[Columna1]])</f>
        <v>250</v>
      </c>
      <c r="I21" s="1">
        <f t="shared" si="0"/>
        <v>1435</v>
      </c>
    </row>
    <row r="22" spans="1:9" x14ac:dyDescent="0.2">
      <c r="A22" s="12" t="s">
        <v>33</v>
      </c>
      <c r="B22" s="12">
        <f>DATEVALUE(Tabla1[[#This Row],[Columna2]])</f>
        <v>45309</v>
      </c>
      <c r="C22" t="s">
        <v>285</v>
      </c>
      <c r="D22" t="s">
        <v>17</v>
      </c>
      <c r="E22" t="str" cm="1">
        <f t="array" ref="E22">_xlfn.IFS(D22="Eventos particulares","Piloto Junior 1",D22="Federaciones y asociaciones deportivas","Piloto Junior 2",D22="Inspecciones agrícolas","Piloto Senior 1",D22="Inspecciones técnicas","Piloto Senior 2")</f>
        <v>Piloto Senior 1</v>
      </c>
      <c r="F22">
        <v>12.27</v>
      </c>
      <c r="G22" s="1" t="str" cm="1">
        <f t="array" ref="G22">_xlfn.IFS(D22="Eventos particulares","225",D22="Federaciones y asociaciones deportivas","250",D22="Inspecciones agrícolas","275",D22="Inspecciones técnicas","300")</f>
        <v>275</v>
      </c>
      <c r="H22" s="1">
        <f>VALUE(Tabla1[[#This Row],[Columna1]])</f>
        <v>275</v>
      </c>
      <c r="I22" s="1">
        <f t="shared" si="0"/>
        <v>3374.25</v>
      </c>
    </row>
    <row r="23" spans="1:9" x14ac:dyDescent="0.2">
      <c r="A23" s="12" t="s">
        <v>33</v>
      </c>
      <c r="B23" s="12">
        <f>DATEVALUE(Tabla1[[#This Row],[Columna2]])</f>
        <v>45309</v>
      </c>
      <c r="C23" t="s">
        <v>286</v>
      </c>
      <c r="D23" t="s">
        <v>4</v>
      </c>
      <c r="E23" t="str" cm="1">
        <f t="array" ref="E23">_xlfn.IFS(D23="Eventos particulares","Piloto Junior 1",D23="Federaciones y asociaciones deportivas","Piloto Junior 2",D23="Inspecciones agrícolas","Piloto Senior 1",D23="Inspecciones técnicas","Piloto Senior 2")</f>
        <v>Piloto Senior 2</v>
      </c>
      <c r="F23">
        <v>7.96</v>
      </c>
      <c r="G23" s="1" t="str" cm="1">
        <f t="array" ref="G23">_xlfn.IFS(D23="Eventos particulares","225",D23="Federaciones y asociaciones deportivas","250",D23="Inspecciones agrícolas","275",D23="Inspecciones técnicas","300")</f>
        <v>300</v>
      </c>
      <c r="H23" s="1">
        <f>VALUE(Tabla1[[#This Row],[Columna1]])</f>
        <v>300</v>
      </c>
      <c r="I23" s="1">
        <f t="shared" si="0"/>
        <v>2388</v>
      </c>
    </row>
    <row r="24" spans="1:9" x14ac:dyDescent="0.2">
      <c r="A24" s="12" t="s">
        <v>244</v>
      </c>
      <c r="B24" s="12">
        <f>DATEVALUE(Tabla1[[#This Row],[Columna2]])</f>
        <v>45311</v>
      </c>
      <c r="C24" t="s">
        <v>286</v>
      </c>
      <c r="D24" t="s">
        <v>12</v>
      </c>
      <c r="E24" t="str" cm="1">
        <f t="array" ref="E24">_xlfn.IFS(D24="Eventos particulares","Piloto Junior 1",D24="Federaciones y asociaciones deportivas","Piloto Junior 2",D24="Inspecciones agrícolas","Piloto Senior 1",D24="Inspecciones técnicas","Piloto Senior 2")</f>
        <v>Piloto Junior 1</v>
      </c>
      <c r="F24">
        <v>9.1999999999999993</v>
      </c>
      <c r="G24" s="1" t="str" cm="1">
        <f t="array" ref="G24">_xlfn.IFS(D24="Eventos particulares","225",D24="Federaciones y asociaciones deportivas","250",D24="Inspecciones agrícolas","275",D24="Inspecciones técnicas","300")</f>
        <v>225</v>
      </c>
      <c r="H24" s="1">
        <f>VALUE(Tabla1[[#This Row],[Columna1]])</f>
        <v>225</v>
      </c>
      <c r="I24" s="1">
        <f t="shared" si="0"/>
        <v>2070</v>
      </c>
    </row>
    <row r="25" spans="1:9" x14ac:dyDescent="0.2">
      <c r="A25" s="12" t="s">
        <v>122</v>
      </c>
      <c r="B25" s="12">
        <f>DATEVALUE(Tabla1[[#This Row],[Columna2]])</f>
        <v>45312</v>
      </c>
      <c r="C25" t="s">
        <v>284</v>
      </c>
      <c r="D25" t="s">
        <v>4</v>
      </c>
      <c r="E25" t="str" cm="1">
        <f t="array" ref="E25">_xlfn.IFS(D25="Eventos particulares","Piloto Junior 1",D25="Federaciones y asociaciones deportivas","Piloto Junior 2",D25="Inspecciones agrícolas","Piloto Senior 1",D25="Inspecciones técnicas","Piloto Senior 2")</f>
        <v>Piloto Senior 2</v>
      </c>
      <c r="F25">
        <v>12.32</v>
      </c>
      <c r="G25" s="1" t="str" cm="1">
        <f t="array" ref="G25">_xlfn.IFS(D25="Eventos particulares","225",D25="Federaciones y asociaciones deportivas","250",D25="Inspecciones agrícolas","275",D25="Inspecciones técnicas","300")</f>
        <v>300</v>
      </c>
      <c r="H25" s="1">
        <f>VALUE(Tabla1[[#This Row],[Columna1]])</f>
        <v>300</v>
      </c>
      <c r="I25" s="1">
        <f t="shared" si="0"/>
        <v>3696</v>
      </c>
    </row>
    <row r="26" spans="1:9" x14ac:dyDescent="0.2">
      <c r="A26" s="12" t="s">
        <v>111</v>
      </c>
      <c r="B26" s="12">
        <f>DATEVALUE(Tabla1[[#This Row],[Columna2]])</f>
        <v>45314</v>
      </c>
      <c r="C26" t="s">
        <v>284</v>
      </c>
      <c r="D26" t="s">
        <v>4</v>
      </c>
      <c r="E26" t="str" cm="1">
        <f t="array" ref="E26">_xlfn.IFS(D26="Eventos particulares","Piloto Junior 1",D26="Federaciones y asociaciones deportivas","Piloto Junior 2",D26="Inspecciones agrícolas","Piloto Senior 1",D26="Inspecciones técnicas","Piloto Senior 2")</f>
        <v>Piloto Senior 2</v>
      </c>
      <c r="F26">
        <v>10.88</v>
      </c>
      <c r="G26" s="1" t="str" cm="1">
        <f t="array" ref="G26">_xlfn.IFS(D26="Eventos particulares","225",D26="Federaciones y asociaciones deportivas","250",D26="Inspecciones agrícolas","275",D26="Inspecciones técnicas","300")</f>
        <v>300</v>
      </c>
      <c r="H26" s="1">
        <f>VALUE(Tabla1[[#This Row],[Columna1]])</f>
        <v>300</v>
      </c>
      <c r="I26" s="1">
        <f t="shared" si="0"/>
        <v>3264.0000000000005</v>
      </c>
    </row>
    <row r="27" spans="1:9" x14ac:dyDescent="0.2">
      <c r="A27" s="12" t="s">
        <v>111</v>
      </c>
      <c r="B27" s="12">
        <f>DATEVALUE(Tabla1[[#This Row],[Columna2]])</f>
        <v>45314</v>
      </c>
      <c r="C27" t="s">
        <v>285</v>
      </c>
      <c r="D27" t="s">
        <v>12</v>
      </c>
      <c r="E27" t="str" cm="1">
        <f t="array" ref="E27">_xlfn.IFS(D27="Eventos particulares","Piloto Junior 1",D27="Federaciones y asociaciones deportivas","Piloto Junior 2",D27="Inspecciones agrícolas","Piloto Senior 1",D27="Inspecciones técnicas","Piloto Senior 2")</f>
        <v>Piloto Junior 1</v>
      </c>
      <c r="F27">
        <v>15.6</v>
      </c>
      <c r="G27" s="1" t="str" cm="1">
        <f t="array" ref="G27">_xlfn.IFS(D27="Eventos particulares","225",D27="Federaciones y asociaciones deportivas","250",D27="Inspecciones agrícolas","275",D27="Inspecciones técnicas","300")</f>
        <v>225</v>
      </c>
      <c r="H27" s="1">
        <f>VALUE(Tabla1[[#This Row],[Columna1]])</f>
        <v>225</v>
      </c>
      <c r="I27" s="1">
        <f t="shared" si="0"/>
        <v>3510</v>
      </c>
    </row>
    <row r="28" spans="1:9" x14ac:dyDescent="0.2">
      <c r="A28" s="12" t="s">
        <v>137</v>
      </c>
      <c r="B28" s="12">
        <f>DATEVALUE(Tabla1[[#This Row],[Columna2]])</f>
        <v>45315</v>
      </c>
      <c r="C28" t="s">
        <v>284</v>
      </c>
      <c r="D28" t="s">
        <v>6</v>
      </c>
      <c r="E28" t="str" cm="1">
        <f t="array" ref="E28">_xlfn.IFS(D28="Eventos particulares","Piloto Junior 1",D28="Federaciones y asociaciones deportivas","Piloto Junior 2",D28="Inspecciones agrícolas","Piloto Senior 1",D28="Inspecciones técnicas","Piloto Senior 2")</f>
        <v>Piloto Junior 2</v>
      </c>
      <c r="F28">
        <v>9.01</v>
      </c>
      <c r="G28" s="1" t="str" cm="1">
        <f t="array" ref="G28">_xlfn.IFS(D28="Eventos particulares","225",D28="Federaciones y asociaciones deportivas","250",D28="Inspecciones agrícolas","275",D28="Inspecciones técnicas","300")</f>
        <v>250</v>
      </c>
      <c r="H28" s="1">
        <f>VALUE(Tabla1[[#This Row],[Columna1]])</f>
        <v>250</v>
      </c>
      <c r="I28" s="1">
        <f t="shared" si="0"/>
        <v>2252.5</v>
      </c>
    </row>
    <row r="29" spans="1:9" x14ac:dyDescent="0.2">
      <c r="A29" s="12" t="s">
        <v>137</v>
      </c>
      <c r="B29" s="12">
        <f>DATEVALUE(Tabla1[[#This Row],[Columna2]])</f>
        <v>45315</v>
      </c>
      <c r="C29" t="s">
        <v>285</v>
      </c>
      <c r="D29" t="s">
        <v>17</v>
      </c>
      <c r="E29" t="str" cm="1">
        <f t="array" ref="E29">_xlfn.IFS(D29="Eventos particulares","Piloto Junior 1",D29="Federaciones y asociaciones deportivas","Piloto Junior 2",D29="Inspecciones agrícolas","Piloto Senior 1",D29="Inspecciones técnicas","Piloto Senior 2")</f>
        <v>Piloto Senior 1</v>
      </c>
      <c r="F29">
        <v>8.6</v>
      </c>
      <c r="G29" s="1" t="str" cm="1">
        <f t="array" ref="G29">_xlfn.IFS(D29="Eventos particulares","225",D29="Federaciones y asociaciones deportivas","250",D29="Inspecciones agrícolas","275",D29="Inspecciones técnicas","300")</f>
        <v>275</v>
      </c>
      <c r="H29" s="1">
        <f>VALUE(Tabla1[[#This Row],[Columna1]])</f>
        <v>275</v>
      </c>
      <c r="I29" s="1">
        <f t="shared" si="0"/>
        <v>2365</v>
      </c>
    </row>
    <row r="30" spans="1:9" x14ac:dyDescent="0.2">
      <c r="A30" s="12" t="s">
        <v>66</v>
      </c>
      <c r="B30" s="12">
        <f>DATEVALUE(Tabla1[[#This Row],[Columna2]])</f>
        <v>45316</v>
      </c>
      <c r="C30" t="s">
        <v>284</v>
      </c>
      <c r="D30" t="s">
        <v>17</v>
      </c>
      <c r="E30" t="str" cm="1">
        <f t="array" ref="E30">_xlfn.IFS(D30="Eventos particulares","Piloto Junior 1",D30="Federaciones y asociaciones deportivas","Piloto Junior 2",D30="Inspecciones agrícolas","Piloto Senior 1",D30="Inspecciones técnicas","Piloto Senior 2")</f>
        <v>Piloto Senior 1</v>
      </c>
      <c r="F30">
        <v>10.19</v>
      </c>
      <c r="G30" s="1" t="str" cm="1">
        <f t="array" ref="G30">_xlfn.IFS(D30="Eventos particulares","225",D30="Federaciones y asociaciones deportivas","250",D30="Inspecciones agrícolas","275",D30="Inspecciones técnicas","300")</f>
        <v>275</v>
      </c>
      <c r="H30" s="1">
        <f>VALUE(Tabla1[[#This Row],[Columna1]])</f>
        <v>275</v>
      </c>
      <c r="I30" s="1">
        <f t="shared" si="0"/>
        <v>2802.25</v>
      </c>
    </row>
    <row r="31" spans="1:9" x14ac:dyDescent="0.2">
      <c r="A31" s="12" t="s">
        <v>66</v>
      </c>
      <c r="B31" s="12">
        <f>DATEVALUE(Tabla1[[#This Row],[Columna2]])</f>
        <v>45316</v>
      </c>
      <c r="C31" t="s">
        <v>284</v>
      </c>
      <c r="D31" t="s">
        <v>12</v>
      </c>
      <c r="E31" t="str" cm="1">
        <f t="array" ref="E31">_xlfn.IFS(D31="Eventos particulares","Piloto Junior 1",D31="Federaciones y asociaciones deportivas","Piloto Junior 2",D31="Inspecciones agrícolas","Piloto Senior 1",D31="Inspecciones técnicas","Piloto Senior 2")</f>
        <v>Piloto Junior 1</v>
      </c>
      <c r="F31">
        <v>9.23</v>
      </c>
      <c r="G31" s="1" t="str" cm="1">
        <f t="array" ref="G31">_xlfn.IFS(D31="Eventos particulares","225",D31="Federaciones y asociaciones deportivas","250",D31="Inspecciones agrícolas","275",D31="Inspecciones técnicas","300")</f>
        <v>225</v>
      </c>
      <c r="H31" s="1">
        <f>VALUE(Tabla1[[#This Row],[Columna1]])</f>
        <v>225</v>
      </c>
      <c r="I31" s="1">
        <f t="shared" si="0"/>
        <v>2076.75</v>
      </c>
    </row>
    <row r="32" spans="1:9" x14ac:dyDescent="0.2">
      <c r="A32" s="12" t="s">
        <v>66</v>
      </c>
      <c r="B32" s="12">
        <f>DATEVALUE(Tabla1[[#This Row],[Columna2]])</f>
        <v>45316</v>
      </c>
      <c r="C32" t="s">
        <v>287</v>
      </c>
      <c r="D32" t="s">
        <v>4</v>
      </c>
      <c r="E32" t="str" cm="1">
        <f t="array" ref="E32">_xlfn.IFS(D32="Eventos particulares","Piloto Junior 1",D32="Federaciones y asociaciones deportivas","Piloto Junior 2",D32="Inspecciones agrícolas","Piloto Senior 1",D32="Inspecciones técnicas","Piloto Senior 2")</f>
        <v>Piloto Senior 2</v>
      </c>
      <c r="F32">
        <v>12.06</v>
      </c>
      <c r="G32" s="1" t="str" cm="1">
        <f t="array" ref="G32">_xlfn.IFS(D32="Eventos particulares","225",D32="Federaciones y asociaciones deportivas","250",D32="Inspecciones agrícolas","275",D32="Inspecciones técnicas","300")</f>
        <v>300</v>
      </c>
      <c r="H32" s="1">
        <f>VALUE(Tabla1[[#This Row],[Columna1]])</f>
        <v>300</v>
      </c>
      <c r="I32" s="1">
        <f t="shared" si="0"/>
        <v>3618</v>
      </c>
    </row>
    <row r="33" spans="1:9" x14ac:dyDescent="0.2">
      <c r="A33" s="12" t="s">
        <v>170</v>
      </c>
      <c r="B33" s="12">
        <f>DATEVALUE(Tabla1[[#This Row],[Columna2]])</f>
        <v>45317</v>
      </c>
      <c r="C33" t="s">
        <v>285</v>
      </c>
      <c r="D33" t="s">
        <v>6</v>
      </c>
      <c r="E33" t="str" cm="1">
        <f t="array" ref="E33">_xlfn.IFS(D33="Eventos particulares","Piloto Junior 1",D33="Federaciones y asociaciones deportivas","Piloto Junior 2",D33="Inspecciones agrícolas","Piloto Senior 1",D33="Inspecciones técnicas","Piloto Senior 2")</f>
        <v>Piloto Junior 2</v>
      </c>
      <c r="F33">
        <v>4.03</v>
      </c>
      <c r="G33" s="1" t="str" cm="1">
        <f t="array" ref="G33">_xlfn.IFS(D33="Eventos particulares","225",D33="Federaciones y asociaciones deportivas","250",D33="Inspecciones agrícolas","275",D33="Inspecciones técnicas","300")</f>
        <v>250</v>
      </c>
      <c r="H33" s="1">
        <f>VALUE(Tabla1[[#This Row],[Columna1]])</f>
        <v>250</v>
      </c>
      <c r="I33" s="1">
        <f t="shared" si="0"/>
        <v>1007.5000000000001</v>
      </c>
    </row>
    <row r="34" spans="1:9" x14ac:dyDescent="0.2">
      <c r="A34" s="12" t="s">
        <v>77</v>
      </c>
      <c r="B34" s="12">
        <f>DATEVALUE(Tabla1[[#This Row],[Columna2]])</f>
        <v>45318</v>
      </c>
      <c r="C34" t="s">
        <v>284</v>
      </c>
      <c r="D34" t="s">
        <v>4</v>
      </c>
      <c r="E34" t="str" cm="1">
        <f t="array" ref="E34">_xlfn.IFS(D34="Eventos particulares","Piloto Junior 1",D34="Federaciones y asociaciones deportivas","Piloto Junior 2",D34="Inspecciones agrícolas","Piloto Senior 1",D34="Inspecciones técnicas","Piloto Senior 2")</f>
        <v>Piloto Senior 2</v>
      </c>
      <c r="F34">
        <v>5.78</v>
      </c>
      <c r="G34" s="1" t="str" cm="1">
        <f t="array" ref="G34">_xlfn.IFS(D34="Eventos particulares","225",D34="Federaciones y asociaciones deportivas","250",D34="Inspecciones agrícolas","275",D34="Inspecciones técnicas","300")</f>
        <v>300</v>
      </c>
      <c r="H34" s="1">
        <f>VALUE(Tabla1[[#This Row],[Columna1]])</f>
        <v>300</v>
      </c>
      <c r="I34" s="1">
        <f t="shared" si="0"/>
        <v>1734</v>
      </c>
    </row>
    <row r="35" spans="1:9" x14ac:dyDescent="0.2">
      <c r="A35" s="12" t="s">
        <v>45</v>
      </c>
      <c r="B35" s="12">
        <f>DATEVALUE(Tabla1[[#This Row],[Columna2]])</f>
        <v>45319</v>
      </c>
      <c r="C35" t="s">
        <v>284</v>
      </c>
      <c r="D35" t="s">
        <v>17</v>
      </c>
      <c r="E35" t="str" cm="1">
        <f t="array" ref="E35">_xlfn.IFS(D35="Eventos particulares","Piloto Junior 1",D35="Federaciones y asociaciones deportivas","Piloto Junior 2",D35="Inspecciones agrícolas","Piloto Senior 1",D35="Inspecciones técnicas","Piloto Senior 2")</f>
        <v>Piloto Senior 1</v>
      </c>
      <c r="F35">
        <v>4.43</v>
      </c>
      <c r="G35" s="1" t="str" cm="1">
        <f t="array" ref="G35">_xlfn.IFS(D35="Eventos particulares","225",D35="Federaciones y asociaciones deportivas","250",D35="Inspecciones agrícolas","275",D35="Inspecciones técnicas","300")</f>
        <v>275</v>
      </c>
      <c r="H35" s="1">
        <f>VALUE(Tabla1[[#This Row],[Columna1]])</f>
        <v>275</v>
      </c>
      <c r="I35" s="1">
        <f t="shared" si="0"/>
        <v>1218.25</v>
      </c>
    </row>
    <row r="36" spans="1:9" x14ac:dyDescent="0.2">
      <c r="A36" s="12" t="s">
        <v>45</v>
      </c>
      <c r="B36" s="12">
        <f>DATEVALUE(Tabla1[[#This Row],[Columna2]])</f>
        <v>45319</v>
      </c>
      <c r="C36" t="s">
        <v>286</v>
      </c>
      <c r="D36" t="s">
        <v>17</v>
      </c>
      <c r="E36" t="str" cm="1">
        <f t="array" ref="E36">_xlfn.IFS(D36="Eventos particulares","Piloto Junior 1",D36="Federaciones y asociaciones deportivas","Piloto Junior 2",D36="Inspecciones agrícolas","Piloto Senior 1",D36="Inspecciones técnicas","Piloto Senior 2")</f>
        <v>Piloto Senior 1</v>
      </c>
      <c r="F36">
        <v>8.3800000000000008</v>
      </c>
      <c r="G36" s="1" t="str" cm="1">
        <f t="array" ref="G36">_xlfn.IFS(D36="Eventos particulares","225",D36="Federaciones y asociaciones deportivas","250",D36="Inspecciones agrícolas","275",D36="Inspecciones técnicas","300")</f>
        <v>275</v>
      </c>
      <c r="H36" s="1">
        <f>VALUE(Tabla1[[#This Row],[Columna1]])</f>
        <v>275</v>
      </c>
      <c r="I36" s="1">
        <f t="shared" si="0"/>
        <v>2304.5</v>
      </c>
    </row>
    <row r="37" spans="1:9" x14ac:dyDescent="0.2">
      <c r="A37" s="12" t="s">
        <v>45</v>
      </c>
      <c r="B37" s="12">
        <f>DATEVALUE(Tabla1[[#This Row],[Columna2]])</f>
        <v>45319</v>
      </c>
      <c r="C37" t="s">
        <v>287</v>
      </c>
      <c r="D37" t="s">
        <v>4</v>
      </c>
      <c r="E37" t="str" cm="1">
        <f t="array" ref="E37">_xlfn.IFS(D37="Eventos particulares","Piloto Junior 1",D37="Federaciones y asociaciones deportivas","Piloto Junior 2",D37="Inspecciones agrícolas","Piloto Senior 1",D37="Inspecciones técnicas","Piloto Senior 2")</f>
        <v>Piloto Senior 2</v>
      </c>
      <c r="F37">
        <v>14.47</v>
      </c>
      <c r="G37" s="1" t="str" cm="1">
        <f t="array" ref="G37">_xlfn.IFS(D37="Eventos particulares","225",D37="Federaciones y asociaciones deportivas","250",D37="Inspecciones agrícolas","275",D37="Inspecciones técnicas","300")</f>
        <v>300</v>
      </c>
      <c r="H37" s="1">
        <f>VALUE(Tabla1[[#This Row],[Columna1]])</f>
        <v>300</v>
      </c>
      <c r="I37" s="1">
        <f t="shared" si="0"/>
        <v>4341</v>
      </c>
    </row>
    <row r="38" spans="1:9" x14ac:dyDescent="0.2">
      <c r="A38" s="12" t="s">
        <v>269</v>
      </c>
      <c r="B38" s="12">
        <f>DATEVALUE(Tabla1[[#This Row],[Columna2]])</f>
        <v>45320</v>
      </c>
      <c r="C38" t="s">
        <v>287</v>
      </c>
      <c r="D38" t="s">
        <v>4</v>
      </c>
      <c r="E38" t="str" cm="1">
        <f t="array" ref="E38">_xlfn.IFS(D38="Eventos particulares","Piloto Junior 1",D38="Federaciones y asociaciones deportivas","Piloto Junior 2",D38="Inspecciones agrícolas","Piloto Senior 1",D38="Inspecciones técnicas","Piloto Senior 2")</f>
        <v>Piloto Senior 2</v>
      </c>
      <c r="F38">
        <v>8.6</v>
      </c>
      <c r="G38" s="1" t="str" cm="1">
        <f t="array" ref="G38">_xlfn.IFS(D38="Eventos particulares","225",D38="Federaciones y asociaciones deportivas","250",D38="Inspecciones agrícolas","275",D38="Inspecciones técnicas","300")</f>
        <v>300</v>
      </c>
      <c r="H38" s="1">
        <f>VALUE(Tabla1[[#This Row],[Columna1]])</f>
        <v>300</v>
      </c>
      <c r="I38" s="1">
        <f t="shared" si="0"/>
        <v>2580</v>
      </c>
    </row>
    <row r="39" spans="1:9" x14ac:dyDescent="0.2">
      <c r="A39" s="12" t="s">
        <v>13</v>
      </c>
      <c r="B39" s="12">
        <f>DATEVALUE(Tabla1[[#This Row],[Columna2]])</f>
        <v>45321</v>
      </c>
      <c r="C39" t="s">
        <v>284</v>
      </c>
      <c r="D39" t="s">
        <v>12</v>
      </c>
      <c r="E39" t="str" cm="1">
        <f t="array" ref="E39">_xlfn.IFS(D39="Eventos particulares","Piloto Junior 1",D39="Federaciones y asociaciones deportivas","Piloto Junior 2",D39="Inspecciones agrícolas","Piloto Senior 1",D39="Inspecciones técnicas","Piloto Senior 2")</f>
        <v>Piloto Junior 1</v>
      </c>
      <c r="F39">
        <v>8.49</v>
      </c>
      <c r="G39" s="1" t="str" cm="1">
        <f t="array" ref="G39">_xlfn.IFS(D39="Eventos particulares","225",D39="Federaciones y asociaciones deportivas","250",D39="Inspecciones agrícolas","275",D39="Inspecciones técnicas","300")</f>
        <v>225</v>
      </c>
      <c r="H39" s="1">
        <f>VALUE(Tabla1[[#This Row],[Columna1]])</f>
        <v>225</v>
      </c>
      <c r="I39" s="1">
        <f t="shared" si="0"/>
        <v>1910.25</v>
      </c>
    </row>
    <row r="40" spans="1:9" x14ac:dyDescent="0.2">
      <c r="A40" s="12" t="s">
        <v>146</v>
      </c>
      <c r="B40" s="12">
        <f>DATEVALUE(Tabla1[[#This Row],[Columna2]])</f>
        <v>45322</v>
      </c>
      <c r="C40" t="s">
        <v>284</v>
      </c>
      <c r="D40" t="s">
        <v>17</v>
      </c>
      <c r="E40" t="str" cm="1">
        <f t="array" ref="E40">_xlfn.IFS(D40="Eventos particulares","Piloto Junior 1",D40="Federaciones y asociaciones deportivas","Piloto Junior 2",D40="Inspecciones agrícolas","Piloto Senior 1",D40="Inspecciones técnicas","Piloto Senior 2")</f>
        <v>Piloto Senior 1</v>
      </c>
      <c r="F40">
        <v>13.87</v>
      </c>
      <c r="G40" s="1" t="str" cm="1">
        <f t="array" ref="G40">_xlfn.IFS(D40="Eventos particulares","225",D40="Federaciones y asociaciones deportivas","250",D40="Inspecciones agrícolas","275",D40="Inspecciones técnicas","300")</f>
        <v>275</v>
      </c>
      <c r="H40" s="1">
        <f>VALUE(Tabla1[[#This Row],[Columna1]])</f>
        <v>275</v>
      </c>
      <c r="I40" s="1">
        <f t="shared" si="0"/>
        <v>3814.25</v>
      </c>
    </row>
    <row r="41" spans="1:9" x14ac:dyDescent="0.2">
      <c r="A41" s="12" t="s">
        <v>146</v>
      </c>
      <c r="B41" s="12">
        <f>DATEVALUE(Tabla1[[#This Row],[Columna2]])</f>
        <v>45322</v>
      </c>
      <c r="C41" t="s">
        <v>285</v>
      </c>
      <c r="D41" t="s">
        <v>17</v>
      </c>
      <c r="E41" t="str" cm="1">
        <f t="array" ref="E41">_xlfn.IFS(D41="Eventos particulares","Piloto Junior 1",D41="Federaciones y asociaciones deportivas","Piloto Junior 2",D41="Inspecciones agrícolas","Piloto Senior 1",D41="Inspecciones técnicas","Piloto Senior 2")</f>
        <v>Piloto Senior 1</v>
      </c>
      <c r="F41">
        <v>15.36</v>
      </c>
      <c r="G41" s="1" t="str" cm="1">
        <f t="array" ref="G41">_xlfn.IFS(D41="Eventos particulares","225",D41="Federaciones y asociaciones deportivas","250",D41="Inspecciones agrícolas","275",D41="Inspecciones técnicas","300")</f>
        <v>275</v>
      </c>
      <c r="H41" s="1">
        <f>VALUE(Tabla1[[#This Row],[Columna1]])</f>
        <v>275</v>
      </c>
      <c r="I41" s="1">
        <f t="shared" si="0"/>
        <v>4224</v>
      </c>
    </row>
    <row r="42" spans="1:9" x14ac:dyDescent="0.2">
      <c r="A42" s="12" t="s">
        <v>146</v>
      </c>
      <c r="B42" s="12">
        <f>DATEVALUE(Tabla1[[#This Row],[Columna2]])</f>
        <v>45322</v>
      </c>
      <c r="C42" t="s">
        <v>286</v>
      </c>
      <c r="D42" t="s">
        <v>4</v>
      </c>
      <c r="E42" t="str" cm="1">
        <f t="array" ref="E42">_xlfn.IFS(D42="Eventos particulares","Piloto Junior 1",D42="Federaciones y asociaciones deportivas","Piloto Junior 2",D42="Inspecciones agrícolas","Piloto Senior 1",D42="Inspecciones técnicas","Piloto Senior 2")</f>
        <v>Piloto Senior 2</v>
      </c>
      <c r="F42">
        <v>9.33</v>
      </c>
      <c r="G42" s="1" t="str" cm="1">
        <f t="array" ref="G42">_xlfn.IFS(D42="Eventos particulares","225",D42="Federaciones y asociaciones deportivas","250",D42="Inspecciones agrícolas","275",D42="Inspecciones técnicas","300")</f>
        <v>300</v>
      </c>
      <c r="H42" s="1">
        <f>VALUE(Tabla1[[#This Row],[Columna1]])</f>
        <v>300</v>
      </c>
      <c r="I42" s="1">
        <f t="shared" si="0"/>
        <v>2799</v>
      </c>
    </row>
    <row r="43" spans="1:9" x14ac:dyDescent="0.2">
      <c r="A43" s="12" t="s">
        <v>146</v>
      </c>
      <c r="B43" s="12">
        <f>DATEVALUE(Tabla1[[#This Row],[Columna2]])</f>
        <v>45322</v>
      </c>
      <c r="C43" t="s">
        <v>287</v>
      </c>
      <c r="D43" t="s">
        <v>17</v>
      </c>
      <c r="E43" t="str" cm="1">
        <f t="array" ref="E43">_xlfn.IFS(D43="Eventos particulares","Piloto Junior 1",D43="Federaciones y asociaciones deportivas","Piloto Junior 2",D43="Inspecciones agrícolas","Piloto Senior 1",D43="Inspecciones técnicas","Piloto Senior 2")</f>
        <v>Piloto Senior 1</v>
      </c>
      <c r="F43">
        <v>9.9499999999999993</v>
      </c>
      <c r="G43" s="1" t="str" cm="1">
        <f t="array" ref="G43">_xlfn.IFS(D43="Eventos particulares","225",D43="Federaciones y asociaciones deportivas","250",D43="Inspecciones agrícolas","275",D43="Inspecciones técnicas","300")</f>
        <v>275</v>
      </c>
      <c r="H43" s="1">
        <f>VALUE(Tabla1[[#This Row],[Columna1]])</f>
        <v>275</v>
      </c>
      <c r="I43" s="1">
        <f t="shared" si="0"/>
        <v>2736.25</v>
      </c>
    </row>
    <row r="44" spans="1:9" x14ac:dyDescent="0.2">
      <c r="A44" s="12" t="s">
        <v>243</v>
      </c>
      <c r="B44" s="12">
        <f>DATEVALUE(Tabla1[[#This Row],[Columna2]])</f>
        <v>45324</v>
      </c>
      <c r="C44" t="s">
        <v>286</v>
      </c>
      <c r="D44" t="s">
        <v>4</v>
      </c>
      <c r="E44" t="str" cm="1">
        <f t="array" ref="E44">_xlfn.IFS(D44="Eventos particulares","Piloto Junior 1",D44="Federaciones y asociaciones deportivas","Piloto Junior 2",D44="Inspecciones agrícolas","Piloto Senior 1",D44="Inspecciones técnicas","Piloto Senior 2")</f>
        <v>Piloto Senior 2</v>
      </c>
      <c r="F44">
        <v>4.2699999999999996</v>
      </c>
      <c r="G44" s="1" t="str" cm="1">
        <f t="array" ref="G44">_xlfn.IFS(D44="Eventos particulares","225",D44="Federaciones y asociaciones deportivas","250",D44="Inspecciones agrícolas","275",D44="Inspecciones técnicas","300")</f>
        <v>300</v>
      </c>
      <c r="H44" s="1">
        <f>VALUE(Tabla1[[#This Row],[Columna1]])</f>
        <v>300</v>
      </c>
      <c r="I44" s="1">
        <f t="shared" si="0"/>
        <v>1280.9999999999998</v>
      </c>
    </row>
    <row r="45" spans="1:9" x14ac:dyDescent="0.2">
      <c r="A45" s="12" t="s">
        <v>243</v>
      </c>
      <c r="B45" s="12">
        <f>DATEVALUE(Tabla1[[#This Row],[Columna2]])</f>
        <v>45324</v>
      </c>
      <c r="C45" t="s">
        <v>286</v>
      </c>
      <c r="D45" t="s">
        <v>12</v>
      </c>
      <c r="E45" t="str" cm="1">
        <f t="array" ref="E45">_xlfn.IFS(D45="Eventos particulares","Piloto Junior 1",D45="Federaciones y asociaciones deportivas","Piloto Junior 2",D45="Inspecciones agrícolas","Piloto Senior 1",D45="Inspecciones técnicas","Piloto Senior 2")</f>
        <v>Piloto Junior 1</v>
      </c>
      <c r="F45">
        <v>11.55</v>
      </c>
      <c r="G45" s="1" t="str" cm="1">
        <f t="array" ref="G45">_xlfn.IFS(D45="Eventos particulares","225",D45="Federaciones y asociaciones deportivas","250",D45="Inspecciones agrícolas","275",D45="Inspecciones técnicas","300")</f>
        <v>225</v>
      </c>
      <c r="H45" s="1">
        <f>VALUE(Tabla1[[#This Row],[Columna1]])</f>
        <v>225</v>
      </c>
      <c r="I45" s="1">
        <f t="shared" si="0"/>
        <v>2598.75</v>
      </c>
    </row>
    <row r="46" spans="1:9" x14ac:dyDescent="0.2">
      <c r="A46" s="12" t="s">
        <v>48</v>
      </c>
      <c r="B46" s="12">
        <f>DATEVALUE(Tabla1[[#This Row],[Columna2]])</f>
        <v>45326</v>
      </c>
      <c r="C46" t="s">
        <v>284</v>
      </c>
      <c r="D46" t="s">
        <v>12</v>
      </c>
      <c r="E46" t="str" cm="1">
        <f t="array" ref="E46">_xlfn.IFS(D46="Eventos particulares","Piloto Junior 1",D46="Federaciones y asociaciones deportivas","Piloto Junior 2",D46="Inspecciones agrícolas","Piloto Senior 1",D46="Inspecciones técnicas","Piloto Senior 2")</f>
        <v>Piloto Junior 1</v>
      </c>
      <c r="F46">
        <v>12.19</v>
      </c>
      <c r="G46" s="1" t="str" cm="1">
        <f t="array" ref="G46">_xlfn.IFS(D46="Eventos particulares","225",D46="Federaciones y asociaciones deportivas","250",D46="Inspecciones agrícolas","275",D46="Inspecciones técnicas","300")</f>
        <v>225</v>
      </c>
      <c r="H46" s="1">
        <f>VALUE(Tabla1[[#This Row],[Columna1]])</f>
        <v>225</v>
      </c>
      <c r="I46" s="1">
        <f t="shared" si="0"/>
        <v>2742.75</v>
      </c>
    </row>
    <row r="47" spans="1:9" x14ac:dyDescent="0.2">
      <c r="A47" s="12" t="s">
        <v>97</v>
      </c>
      <c r="B47" s="12">
        <f>DATEVALUE(Tabla1[[#This Row],[Columna2]])</f>
        <v>45327</v>
      </c>
      <c r="C47" t="s">
        <v>284</v>
      </c>
      <c r="D47" t="s">
        <v>4</v>
      </c>
      <c r="E47" t="str" cm="1">
        <f t="array" ref="E47">_xlfn.IFS(D47="Eventos particulares","Piloto Junior 1",D47="Federaciones y asociaciones deportivas","Piloto Junior 2",D47="Inspecciones agrícolas","Piloto Senior 1",D47="Inspecciones técnicas","Piloto Senior 2")</f>
        <v>Piloto Senior 2</v>
      </c>
      <c r="F47">
        <v>4.66</v>
      </c>
      <c r="G47" s="1" t="str" cm="1">
        <f t="array" ref="G47">_xlfn.IFS(D47="Eventos particulares","225",D47="Federaciones y asociaciones deportivas","250",D47="Inspecciones agrícolas","275",D47="Inspecciones técnicas","300")</f>
        <v>300</v>
      </c>
      <c r="H47" s="1">
        <f>VALUE(Tabla1[[#This Row],[Columna1]])</f>
        <v>300</v>
      </c>
      <c r="I47" s="1">
        <f t="shared" si="0"/>
        <v>1398</v>
      </c>
    </row>
    <row r="48" spans="1:9" x14ac:dyDescent="0.2">
      <c r="A48" s="12" t="s">
        <v>97</v>
      </c>
      <c r="B48" s="12">
        <f>DATEVALUE(Tabla1[[#This Row],[Columna2]])</f>
        <v>45327</v>
      </c>
      <c r="C48" t="s">
        <v>284</v>
      </c>
      <c r="D48" t="s">
        <v>12</v>
      </c>
      <c r="E48" t="str" cm="1">
        <f t="array" ref="E48">_xlfn.IFS(D48="Eventos particulares","Piloto Junior 1",D48="Federaciones y asociaciones deportivas","Piloto Junior 2",D48="Inspecciones agrícolas","Piloto Senior 1",D48="Inspecciones técnicas","Piloto Senior 2")</f>
        <v>Piloto Junior 1</v>
      </c>
      <c r="F48">
        <v>9.6300000000000008</v>
      </c>
      <c r="G48" s="1" t="str" cm="1">
        <f t="array" ref="G48">_xlfn.IFS(D48="Eventos particulares","225",D48="Federaciones y asociaciones deportivas","250",D48="Inspecciones agrícolas","275",D48="Inspecciones técnicas","300")</f>
        <v>225</v>
      </c>
      <c r="H48" s="1">
        <f>VALUE(Tabla1[[#This Row],[Columna1]])</f>
        <v>225</v>
      </c>
      <c r="I48" s="1">
        <f t="shared" si="0"/>
        <v>2166.75</v>
      </c>
    </row>
    <row r="49" spans="1:9" x14ac:dyDescent="0.2">
      <c r="A49" s="12" t="s">
        <v>97</v>
      </c>
      <c r="B49" s="12">
        <f>DATEVALUE(Tabla1[[#This Row],[Columna2]])</f>
        <v>45327</v>
      </c>
      <c r="C49" t="s">
        <v>284</v>
      </c>
      <c r="D49" t="s">
        <v>12</v>
      </c>
      <c r="E49" t="str" cm="1">
        <f t="array" ref="E49">_xlfn.IFS(D49="Eventos particulares","Piloto Junior 1",D49="Federaciones y asociaciones deportivas","Piloto Junior 2",D49="Inspecciones agrícolas","Piloto Senior 1",D49="Inspecciones técnicas","Piloto Senior 2")</f>
        <v>Piloto Junior 1</v>
      </c>
      <c r="F49">
        <v>6.53</v>
      </c>
      <c r="G49" s="1" t="str" cm="1">
        <f t="array" ref="G49">_xlfn.IFS(D49="Eventos particulares","225",D49="Federaciones y asociaciones deportivas","250",D49="Inspecciones agrícolas","275",D49="Inspecciones técnicas","300")</f>
        <v>225</v>
      </c>
      <c r="H49" s="1">
        <f>VALUE(Tabla1[[#This Row],[Columna1]])</f>
        <v>225</v>
      </c>
      <c r="I49" s="1">
        <f t="shared" si="0"/>
        <v>1469.25</v>
      </c>
    </row>
    <row r="50" spans="1:9" x14ac:dyDescent="0.2">
      <c r="A50" s="12" t="s">
        <v>97</v>
      </c>
      <c r="B50" s="12">
        <f>DATEVALUE(Tabla1[[#This Row],[Columna2]])</f>
        <v>45327</v>
      </c>
      <c r="C50" t="s">
        <v>285</v>
      </c>
      <c r="D50" t="s">
        <v>4</v>
      </c>
      <c r="E50" t="str" cm="1">
        <f t="array" ref="E50">_xlfn.IFS(D50="Eventos particulares","Piloto Junior 1",D50="Federaciones y asociaciones deportivas","Piloto Junior 2",D50="Inspecciones agrícolas","Piloto Senior 1",D50="Inspecciones técnicas","Piloto Senior 2")</f>
        <v>Piloto Senior 2</v>
      </c>
      <c r="F50">
        <v>14.04</v>
      </c>
      <c r="G50" s="1" t="str" cm="1">
        <f t="array" ref="G50">_xlfn.IFS(D50="Eventos particulares","225",D50="Federaciones y asociaciones deportivas","250",D50="Inspecciones agrícolas","275",D50="Inspecciones técnicas","300")</f>
        <v>300</v>
      </c>
      <c r="H50" s="1">
        <f>VALUE(Tabla1[[#This Row],[Columna1]])</f>
        <v>300</v>
      </c>
      <c r="I50" s="1">
        <f t="shared" si="0"/>
        <v>4212</v>
      </c>
    </row>
    <row r="51" spans="1:9" x14ac:dyDescent="0.2">
      <c r="A51" s="12" t="s">
        <v>93</v>
      </c>
      <c r="B51" s="12">
        <f>DATEVALUE(Tabla1[[#This Row],[Columna2]])</f>
        <v>45328</v>
      </c>
      <c r="C51" t="s">
        <v>284</v>
      </c>
      <c r="D51" t="s">
        <v>4</v>
      </c>
      <c r="E51" t="str" cm="1">
        <f t="array" ref="E51">_xlfn.IFS(D51="Eventos particulares","Piloto Junior 1",D51="Federaciones y asociaciones deportivas","Piloto Junior 2",D51="Inspecciones agrícolas","Piloto Senior 1",D51="Inspecciones técnicas","Piloto Senior 2")</f>
        <v>Piloto Senior 2</v>
      </c>
      <c r="F51">
        <v>5.08</v>
      </c>
      <c r="G51" s="1" t="str" cm="1">
        <f t="array" ref="G51">_xlfn.IFS(D51="Eventos particulares","225",D51="Federaciones y asociaciones deportivas","250",D51="Inspecciones agrícolas","275",D51="Inspecciones técnicas","300")</f>
        <v>300</v>
      </c>
      <c r="H51" s="1">
        <f>VALUE(Tabla1[[#This Row],[Columna1]])</f>
        <v>300</v>
      </c>
      <c r="I51" s="1">
        <f t="shared" si="0"/>
        <v>1524</v>
      </c>
    </row>
    <row r="52" spans="1:9" x14ac:dyDescent="0.2">
      <c r="A52" s="12" t="s">
        <v>93</v>
      </c>
      <c r="B52" s="12">
        <f>DATEVALUE(Tabla1[[#This Row],[Columna2]])</f>
        <v>45328</v>
      </c>
      <c r="C52" t="s">
        <v>284</v>
      </c>
      <c r="D52" t="s">
        <v>17</v>
      </c>
      <c r="E52" t="str" cm="1">
        <f t="array" ref="E52">_xlfn.IFS(D52="Eventos particulares","Piloto Junior 1",D52="Federaciones y asociaciones deportivas","Piloto Junior 2",D52="Inspecciones agrícolas","Piloto Senior 1",D52="Inspecciones técnicas","Piloto Senior 2")</f>
        <v>Piloto Senior 1</v>
      </c>
      <c r="F52">
        <v>9.68</v>
      </c>
      <c r="G52" s="1" t="str" cm="1">
        <f t="array" ref="G52">_xlfn.IFS(D52="Eventos particulares","225",D52="Federaciones y asociaciones deportivas","250",D52="Inspecciones agrícolas","275",D52="Inspecciones técnicas","300")</f>
        <v>275</v>
      </c>
      <c r="H52" s="1">
        <f>VALUE(Tabla1[[#This Row],[Columna1]])</f>
        <v>275</v>
      </c>
      <c r="I52" s="1">
        <f t="shared" si="0"/>
        <v>2662</v>
      </c>
    </row>
    <row r="53" spans="1:9" x14ac:dyDescent="0.2">
      <c r="A53" s="12" t="s">
        <v>93</v>
      </c>
      <c r="B53" s="12">
        <f>DATEVALUE(Tabla1[[#This Row],[Columna2]])</f>
        <v>45328</v>
      </c>
      <c r="C53" t="s">
        <v>287</v>
      </c>
      <c r="D53" t="s">
        <v>4</v>
      </c>
      <c r="E53" t="str" cm="1">
        <f t="array" ref="E53">_xlfn.IFS(D53="Eventos particulares","Piloto Junior 1",D53="Federaciones y asociaciones deportivas","Piloto Junior 2",D53="Inspecciones agrícolas","Piloto Senior 1",D53="Inspecciones técnicas","Piloto Senior 2")</f>
        <v>Piloto Senior 2</v>
      </c>
      <c r="F53">
        <v>8.48</v>
      </c>
      <c r="G53" s="1" t="str" cm="1">
        <f t="array" ref="G53">_xlfn.IFS(D53="Eventos particulares","225",D53="Federaciones y asociaciones deportivas","250",D53="Inspecciones agrícolas","275",D53="Inspecciones técnicas","300")</f>
        <v>300</v>
      </c>
      <c r="H53" s="1">
        <f>VALUE(Tabla1[[#This Row],[Columna1]])</f>
        <v>300</v>
      </c>
      <c r="I53" s="1">
        <f t="shared" si="0"/>
        <v>2544</v>
      </c>
    </row>
    <row r="54" spans="1:9" x14ac:dyDescent="0.2">
      <c r="A54" s="12" t="s">
        <v>147</v>
      </c>
      <c r="B54" s="12">
        <f>DATEVALUE(Tabla1[[#This Row],[Columna2]])</f>
        <v>45330</v>
      </c>
      <c r="C54" t="s">
        <v>284</v>
      </c>
      <c r="D54" t="s">
        <v>12</v>
      </c>
      <c r="E54" t="str" cm="1">
        <f t="array" ref="E54">_xlfn.IFS(D54="Eventos particulares","Piloto Junior 1",D54="Federaciones y asociaciones deportivas","Piloto Junior 2",D54="Inspecciones agrícolas","Piloto Senior 1",D54="Inspecciones técnicas","Piloto Senior 2")</f>
        <v>Piloto Junior 1</v>
      </c>
      <c r="F54">
        <v>11.02</v>
      </c>
      <c r="G54" s="1" t="str" cm="1">
        <f t="array" ref="G54">_xlfn.IFS(D54="Eventos particulares","225",D54="Federaciones y asociaciones deportivas","250",D54="Inspecciones agrícolas","275",D54="Inspecciones técnicas","300")</f>
        <v>225</v>
      </c>
      <c r="H54" s="1">
        <f>VALUE(Tabla1[[#This Row],[Columna1]])</f>
        <v>225</v>
      </c>
      <c r="I54" s="1">
        <f t="shared" si="0"/>
        <v>2479.5</v>
      </c>
    </row>
    <row r="55" spans="1:9" x14ac:dyDescent="0.2">
      <c r="A55" s="12" t="s">
        <v>134</v>
      </c>
      <c r="B55" s="12">
        <f>DATEVALUE(Tabla1[[#This Row],[Columna2]])</f>
        <v>45331</v>
      </c>
      <c r="C55" t="s">
        <v>284</v>
      </c>
      <c r="D55" t="s">
        <v>17</v>
      </c>
      <c r="E55" t="str" cm="1">
        <f t="array" ref="E55">_xlfn.IFS(D55="Eventos particulares","Piloto Junior 1",D55="Federaciones y asociaciones deportivas","Piloto Junior 2",D55="Inspecciones agrícolas","Piloto Senior 1",D55="Inspecciones técnicas","Piloto Senior 2")</f>
        <v>Piloto Senior 1</v>
      </c>
      <c r="F55">
        <v>8.4</v>
      </c>
      <c r="G55" s="1" t="str" cm="1">
        <f t="array" ref="G55">_xlfn.IFS(D55="Eventos particulares","225",D55="Federaciones y asociaciones deportivas","250",D55="Inspecciones agrícolas","275",D55="Inspecciones técnicas","300")</f>
        <v>275</v>
      </c>
      <c r="H55" s="1">
        <f>VALUE(Tabla1[[#This Row],[Columna1]])</f>
        <v>275</v>
      </c>
      <c r="I55" s="1">
        <f t="shared" si="0"/>
        <v>2310</v>
      </c>
    </row>
    <row r="56" spans="1:9" x14ac:dyDescent="0.2">
      <c r="A56" s="12" t="s">
        <v>189</v>
      </c>
      <c r="B56" s="12">
        <f>DATEVALUE(Tabla1[[#This Row],[Columna2]])</f>
        <v>45332</v>
      </c>
      <c r="C56" t="s">
        <v>285</v>
      </c>
      <c r="D56" t="s">
        <v>12</v>
      </c>
      <c r="E56" t="str" cm="1">
        <f t="array" ref="E56">_xlfn.IFS(D56="Eventos particulares","Piloto Junior 1",D56="Federaciones y asociaciones deportivas","Piloto Junior 2",D56="Inspecciones agrícolas","Piloto Senior 1",D56="Inspecciones técnicas","Piloto Senior 2")</f>
        <v>Piloto Junior 1</v>
      </c>
      <c r="F56">
        <v>11</v>
      </c>
      <c r="G56" s="1" t="str" cm="1">
        <f t="array" ref="G56">_xlfn.IFS(D56="Eventos particulares","225",D56="Federaciones y asociaciones deportivas","250",D56="Inspecciones agrícolas","275",D56="Inspecciones técnicas","300")</f>
        <v>225</v>
      </c>
      <c r="H56" s="1">
        <f>VALUE(Tabla1[[#This Row],[Columna1]])</f>
        <v>225</v>
      </c>
      <c r="I56" s="1">
        <f t="shared" si="0"/>
        <v>2475</v>
      </c>
    </row>
    <row r="57" spans="1:9" x14ac:dyDescent="0.2">
      <c r="A57" s="12" t="s">
        <v>65</v>
      </c>
      <c r="B57" s="12">
        <f>DATEVALUE(Tabla1[[#This Row],[Columna2]])</f>
        <v>45333</v>
      </c>
      <c r="C57" t="s">
        <v>284</v>
      </c>
      <c r="D57" t="s">
        <v>12</v>
      </c>
      <c r="E57" t="str" cm="1">
        <f t="array" ref="E57">_xlfn.IFS(D57="Eventos particulares","Piloto Junior 1",D57="Federaciones y asociaciones deportivas","Piloto Junior 2",D57="Inspecciones agrícolas","Piloto Senior 1",D57="Inspecciones técnicas","Piloto Senior 2")</f>
        <v>Piloto Junior 1</v>
      </c>
      <c r="F57">
        <v>5.77</v>
      </c>
      <c r="G57" s="1" t="str" cm="1">
        <f t="array" ref="G57">_xlfn.IFS(D57="Eventos particulares","225",D57="Federaciones y asociaciones deportivas","250",D57="Inspecciones agrícolas","275",D57="Inspecciones técnicas","300")</f>
        <v>225</v>
      </c>
      <c r="H57" s="1">
        <f>VALUE(Tabla1[[#This Row],[Columna1]])</f>
        <v>225</v>
      </c>
      <c r="I57" s="1">
        <f t="shared" si="0"/>
        <v>1298.25</v>
      </c>
    </row>
    <row r="58" spans="1:9" x14ac:dyDescent="0.2">
      <c r="A58" s="12" t="s">
        <v>65</v>
      </c>
      <c r="B58" s="12">
        <f>DATEVALUE(Tabla1[[#This Row],[Columna2]])</f>
        <v>45333</v>
      </c>
      <c r="C58" t="s">
        <v>286</v>
      </c>
      <c r="D58" t="s">
        <v>4</v>
      </c>
      <c r="E58" t="str" cm="1">
        <f t="array" ref="E58">_xlfn.IFS(D58="Eventos particulares","Piloto Junior 1",D58="Federaciones y asociaciones deportivas","Piloto Junior 2",D58="Inspecciones agrícolas","Piloto Senior 1",D58="Inspecciones técnicas","Piloto Senior 2")</f>
        <v>Piloto Senior 2</v>
      </c>
      <c r="F58">
        <v>8.26</v>
      </c>
      <c r="G58" s="1" t="str" cm="1">
        <f t="array" ref="G58">_xlfn.IFS(D58="Eventos particulares","225",D58="Federaciones y asociaciones deportivas","250",D58="Inspecciones agrícolas","275",D58="Inspecciones técnicas","300")</f>
        <v>300</v>
      </c>
      <c r="H58" s="1">
        <f>VALUE(Tabla1[[#This Row],[Columna1]])</f>
        <v>300</v>
      </c>
      <c r="I58" s="1">
        <f t="shared" si="0"/>
        <v>2478</v>
      </c>
    </row>
    <row r="59" spans="1:9" x14ac:dyDescent="0.2">
      <c r="A59" s="12" t="s">
        <v>65</v>
      </c>
      <c r="B59" s="12">
        <f>DATEVALUE(Tabla1[[#This Row],[Columna2]])</f>
        <v>45333</v>
      </c>
      <c r="C59" t="s">
        <v>286</v>
      </c>
      <c r="D59" t="s">
        <v>17</v>
      </c>
      <c r="E59" t="str" cm="1">
        <f t="array" ref="E59">_xlfn.IFS(D59="Eventos particulares","Piloto Junior 1",D59="Federaciones y asociaciones deportivas","Piloto Junior 2",D59="Inspecciones agrícolas","Piloto Senior 1",D59="Inspecciones técnicas","Piloto Senior 2")</f>
        <v>Piloto Senior 1</v>
      </c>
      <c r="F59">
        <v>13.14</v>
      </c>
      <c r="G59" s="1" t="str" cm="1">
        <f t="array" ref="G59">_xlfn.IFS(D59="Eventos particulares","225",D59="Federaciones y asociaciones deportivas","250",D59="Inspecciones agrícolas","275",D59="Inspecciones técnicas","300")</f>
        <v>275</v>
      </c>
      <c r="H59" s="1">
        <f>VALUE(Tabla1[[#This Row],[Columna1]])</f>
        <v>275</v>
      </c>
      <c r="I59" s="1">
        <f t="shared" si="0"/>
        <v>3613.5</v>
      </c>
    </row>
    <row r="60" spans="1:9" x14ac:dyDescent="0.2">
      <c r="A60" s="12" t="s">
        <v>65</v>
      </c>
      <c r="B60" s="12">
        <f>DATEVALUE(Tabla1[[#This Row],[Columna2]])</f>
        <v>45333</v>
      </c>
      <c r="C60" t="s">
        <v>287</v>
      </c>
      <c r="D60" t="s">
        <v>6</v>
      </c>
      <c r="E60" t="str" cm="1">
        <f t="array" ref="E60">_xlfn.IFS(D60="Eventos particulares","Piloto Junior 1",D60="Federaciones y asociaciones deportivas","Piloto Junior 2",D60="Inspecciones agrícolas","Piloto Senior 1",D60="Inspecciones técnicas","Piloto Senior 2")</f>
        <v>Piloto Junior 2</v>
      </c>
      <c r="F60">
        <v>7.37</v>
      </c>
      <c r="G60" s="1" t="str" cm="1">
        <f t="array" ref="G60">_xlfn.IFS(D60="Eventos particulares","225",D60="Federaciones y asociaciones deportivas","250",D60="Inspecciones agrícolas","275",D60="Inspecciones técnicas","300")</f>
        <v>250</v>
      </c>
      <c r="H60" s="1">
        <f>VALUE(Tabla1[[#This Row],[Columna1]])</f>
        <v>250</v>
      </c>
      <c r="I60" s="1">
        <f t="shared" si="0"/>
        <v>1842.5</v>
      </c>
    </row>
    <row r="61" spans="1:9" x14ac:dyDescent="0.2">
      <c r="A61" s="12" t="s">
        <v>273</v>
      </c>
      <c r="B61" s="12">
        <f>DATEVALUE(Tabla1[[#This Row],[Columna2]])</f>
        <v>45334</v>
      </c>
      <c r="C61" t="s">
        <v>287</v>
      </c>
      <c r="D61" t="s">
        <v>4</v>
      </c>
      <c r="E61" t="str" cm="1">
        <f t="array" ref="E61">_xlfn.IFS(D61="Eventos particulares","Piloto Junior 1",D61="Federaciones y asociaciones deportivas","Piloto Junior 2",D61="Inspecciones agrícolas","Piloto Senior 1",D61="Inspecciones técnicas","Piloto Senior 2")</f>
        <v>Piloto Senior 2</v>
      </c>
      <c r="F61">
        <v>12.9</v>
      </c>
      <c r="G61" s="1" t="str" cm="1">
        <f t="array" ref="G61">_xlfn.IFS(D61="Eventos particulares","225",D61="Federaciones y asociaciones deportivas","250",D61="Inspecciones agrícolas","275",D61="Inspecciones técnicas","300")</f>
        <v>300</v>
      </c>
      <c r="H61" s="1">
        <f>VALUE(Tabla1[[#This Row],[Columna1]])</f>
        <v>300</v>
      </c>
      <c r="I61" s="1">
        <f t="shared" si="0"/>
        <v>3870</v>
      </c>
    </row>
    <row r="62" spans="1:9" x14ac:dyDescent="0.2">
      <c r="A62" s="12" t="s">
        <v>218</v>
      </c>
      <c r="B62" s="12">
        <f>DATEVALUE(Tabla1[[#This Row],[Columna2]])</f>
        <v>45335</v>
      </c>
      <c r="C62" t="s">
        <v>285</v>
      </c>
      <c r="D62" t="s">
        <v>4</v>
      </c>
      <c r="E62" t="str" cm="1">
        <f t="array" ref="E62">_xlfn.IFS(D62="Eventos particulares","Piloto Junior 1",D62="Federaciones y asociaciones deportivas","Piloto Junior 2",D62="Inspecciones agrícolas","Piloto Senior 1",D62="Inspecciones técnicas","Piloto Senior 2")</f>
        <v>Piloto Senior 2</v>
      </c>
      <c r="F62">
        <v>4.8899999999999997</v>
      </c>
      <c r="G62" s="1" t="str" cm="1">
        <f t="array" ref="G62">_xlfn.IFS(D62="Eventos particulares","225",D62="Federaciones y asociaciones deportivas","250",D62="Inspecciones agrícolas","275",D62="Inspecciones técnicas","300")</f>
        <v>300</v>
      </c>
      <c r="H62" s="1">
        <f>VALUE(Tabla1[[#This Row],[Columna1]])</f>
        <v>300</v>
      </c>
      <c r="I62" s="1">
        <f t="shared" si="0"/>
        <v>1467</v>
      </c>
    </row>
    <row r="63" spans="1:9" x14ac:dyDescent="0.2">
      <c r="A63" s="12" t="s">
        <v>218</v>
      </c>
      <c r="B63" s="12">
        <f>DATEVALUE(Tabla1[[#This Row],[Columna2]])</f>
        <v>45335</v>
      </c>
      <c r="C63" t="s">
        <v>286</v>
      </c>
      <c r="D63" t="s">
        <v>12</v>
      </c>
      <c r="E63" t="str" cm="1">
        <f t="array" ref="E63">_xlfn.IFS(D63="Eventos particulares","Piloto Junior 1",D63="Federaciones y asociaciones deportivas","Piloto Junior 2",D63="Inspecciones agrícolas","Piloto Senior 1",D63="Inspecciones técnicas","Piloto Senior 2")</f>
        <v>Piloto Junior 1</v>
      </c>
      <c r="F63">
        <v>7.69</v>
      </c>
      <c r="G63" s="1" t="str" cm="1">
        <f t="array" ref="G63">_xlfn.IFS(D63="Eventos particulares","225",D63="Federaciones y asociaciones deportivas","250",D63="Inspecciones agrícolas","275",D63="Inspecciones técnicas","300")</f>
        <v>225</v>
      </c>
      <c r="H63" s="1">
        <f>VALUE(Tabla1[[#This Row],[Columna1]])</f>
        <v>225</v>
      </c>
      <c r="I63" s="1">
        <f t="shared" si="0"/>
        <v>1730.25</v>
      </c>
    </row>
    <row r="64" spans="1:9" x14ac:dyDescent="0.2">
      <c r="A64" s="12" t="s">
        <v>229</v>
      </c>
      <c r="B64" s="12">
        <f>DATEVALUE(Tabla1[[#This Row],[Columna2]])</f>
        <v>45337</v>
      </c>
      <c r="C64" t="s">
        <v>286</v>
      </c>
      <c r="D64" t="s">
        <v>6</v>
      </c>
      <c r="E64" t="str" cm="1">
        <f t="array" ref="E64">_xlfn.IFS(D64="Eventos particulares","Piloto Junior 1",D64="Federaciones y asociaciones deportivas","Piloto Junior 2",D64="Inspecciones agrícolas","Piloto Senior 1",D64="Inspecciones técnicas","Piloto Senior 2")</f>
        <v>Piloto Junior 2</v>
      </c>
      <c r="F64">
        <v>12.1</v>
      </c>
      <c r="G64" s="1" t="str" cm="1">
        <f t="array" ref="G64">_xlfn.IFS(D64="Eventos particulares","225",D64="Federaciones y asociaciones deportivas","250",D64="Inspecciones agrícolas","275",D64="Inspecciones técnicas","300")</f>
        <v>250</v>
      </c>
      <c r="H64" s="1">
        <f>VALUE(Tabla1[[#This Row],[Columna1]])</f>
        <v>250</v>
      </c>
      <c r="I64" s="1">
        <f t="shared" si="0"/>
        <v>3025</v>
      </c>
    </row>
    <row r="65" spans="1:9" x14ac:dyDescent="0.2">
      <c r="A65" s="12" t="s">
        <v>253</v>
      </c>
      <c r="B65" s="12">
        <f>DATEVALUE(Tabla1[[#This Row],[Columna2]])</f>
        <v>45338</v>
      </c>
      <c r="C65" t="s">
        <v>286</v>
      </c>
      <c r="D65" t="s">
        <v>6</v>
      </c>
      <c r="E65" t="str" cm="1">
        <f t="array" ref="E65">_xlfn.IFS(D65="Eventos particulares","Piloto Junior 1",D65="Federaciones y asociaciones deportivas","Piloto Junior 2",D65="Inspecciones agrícolas","Piloto Senior 1",D65="Inspecciones técnicas","Piloto Senior 2")</f>
        <v>Piloto Junior 2</v>
      </c>
      <c r="F65">
        <v>8.42</v>
      </c>
      <c r="G65" s="1" t="str" cm="1">
        <f t="array" ref="G65">_xlfn.IFS(D65="Eventos particulares","225",D65="Federaciones y asociaciones deportivas","250",D65="Inspecciones agrícolas","275",D65="Inspecciones técnicas","300")</f>
        <v>250</v>
      </c>
      <c r="H65" s="1">
        <f>VALUE(Tabla1[[#This Row],[Columna1]])</f>
        <v>250</v>
      </c>
      <c r="I65" s="1">
        <f t="shared" si="0"/>
        <v>2105</v>
      </c>
    </row>
    <row r="66" spans="1:9" x14ac:dyDescent="0.2">
      <c r="A66" s="12" t="s">
        <v>28</v>
      </c>
      <c r="B66" s="12">
        <f>DATEVALUE(Tabla1[[#This Row],[Columna2]])</f>
        <v>45339</v>
      </c>
      <c r="C66" t="s">
        <v>284</v>
      </c>
      <c r="D66" t="s">
        <v>17</v>
      </c>
      <c r="E66" t="str" cm="1">
        <f t="array" ref="E66">_xlfn.IFS(D66="Eventos particulares","Piloto Junior 1",D66="Federaciones y asociaciones deportivas","Piloto Junior 2",D66="Inspecciones agrícolas","Piloto Senior 1",D66="Inspecciones técnicas","Piloto Senior 2")</f>
        <v>Piloto Senior 1</v>
      </c>
      <c r="F66">
        <v>15.88</v>
      </c>
      <c r="G66" s="1" t="str" cm="1">
        <f t="array" ref="G66">_xlfn.IFS(D66="Eventos particulares","225",D66="Federaciones y asociaciones deportivas","250",D66="Inspecciones agrícolas","275",D66="Inspecciones técnicas","300")</f>
        <v>275</v>
      </c>
      <c r="H66" s="1">
        <f>VALUE(Tabla1[[#This Row],[Columna1]])</f>
        <v>275</v>
      </c>
      <c r="I66" s="1">
        <f t="shared" ref="I66:I129" si="1">F66*H66</f>
        <v>4367</v>
      </c>
    </row>
    <row r="67" spans="1:9" x14ac:dyDescent="0.2">
      <c r="A67" s="12" t="s">
        <v>125</v>
      </c>
      <c r="B67" s="12">
        <f>DATEVALUE(Tabla1[[#This Row],[Columna2]])</f>
        <v>45340</v>
      </c>
      <c r="C67" t="s">
        <v>284</v>
      </c>
      <c r="D67" t="s">
        <v>4</v>
      </c>
      <c r="E67" t="str" cm="1">
        <f t="array" ref="E67">_xlfn.IFS(D67="Eventos particulares","Piloto Junior 1",D67="Federaciones y asociaciones deportivas","Piloto Junior 2",D67="Inspecciones agrícolas","Piloto Senior 1",D67="Inspecciones técnicas","Piloto Senior 2")</f>
        <v>Piloto Senior 2</v>
      </c>
      <c r="F67">
        <v>12.25</v>
      </c>
      <c r="G67" s="1" t="str" cm="1">
        <f t="array" ref="G67">_xlfn.IFS(D67="Eventos particulares","225",D67="Federaciones y asociaciones deportivas","250",D67="Inspecciones agrícolas","275",D67="Inspecciones técnicas","300")</f>
        <v>300</v>
      </c>
      <c r="H67" s="1">
        <f>VALUE(Tabla1[[#This Row],[Columna1]])</f>
        <v>300</v>
      </c>
      <c r="I67" s="1">
        <f t="shared" si="1"/>
        <v>3675</v>
      </c>
    </row>
    <row r="68" spans="1:9" x14ac:dyDescent="0.2">
      <c r="A68" s="12" t="s">
        <v>125</v>
      </c>
      <c r="B68" s="12">
        <f>DATEVALUE(Tabla1[[#This Row],[Columna2]])</f>
        <v>45340</v>
      </c>
      <c r="C68" t="s">
        <v>284</v>
      </c>
      <c r="D68" t="s">
        <v>4</v>
      </c>
      <c r="E68" t="str" cm="1">
        <f t="array" ref="E68">_xlfn.IFS(D68="Eventos particulares","Piloto Junior 1",D68="Federaciones y asociaciones deportivas","Piloto Junior 2",D68="Inspecciones agrícolas","Piloto Senior 1",D68="Inspecciones técnicas","Piloto Senior 2")</f>
        <v>Piloto Senior 2</v>
      </c>
      <c r="F68">
        <v>14.9</v>
      </c>
      <c r="G68" s="1" t="str" cm="1">
        <f t="array" ref="G68">_xlfn.IFS(D68="Eventos particulares","225",D68="Federaciones y asociaciones deportivas","250",D68="Inspecciones agrícolas","275",D68="Inspecciones técnicas","300")</f>
        <v>300</v>
      </c>
      <c r="H68" s="1">
        <f>VALUE(Tabla1[[#This Row],[Columna1]])</f>
        <v>300</v>
      </c>
      <c r="I68" s="1">
        <f t="shared" si="1"/>
        <v>4470</v>
      </c>
    </row>
    <row r="69" spans="1:9" x14ac:dyDescent="0.2">
      <c r="A69" s="12" t="s">
        <v>125</v>
      </c>
      <c r="B69" s="12">
        <f>DATEVALUE(Tabla1[[#This Row],[Columna2]])</f>
        <v>45340</v>
      </c>
      <c r="C69" t="s">
        <v>285</v>
      </c>
      <c r="D69" t="s">
        <v>12</v>
      </c>
      <c r="E69" t="str" cm="1">
        <f t="array" ref="E69">_xlfn.IFS(D69="Eventos particulares","Piloto Junior 1",D69="Federaciones y asociaciones deportivas","Piloto Junior 2",D69="Inspecciones agrícolas","Piloto Senior 1",D69="Inspecciones técnicas","Piloto Senior 2")</f>
        <v>Piloto Junior 1</v>
      </c>
      <c r="F69">
        <v>9.9499999999999993</v>
      </c>
      <c r="G69" s="1" t="str" cm="1">
        <f t="array" ref="G69">_xlfn.IFS(D69="Eventos particulares","225",D69="Federaciones y asociaciones deportivas","250",D69="Inspecciones agrícolas","275",D69="Inspecciones técnicas","300")</f>
        <v>225</v>
      </c>
      <c r="H69" s="1">
        <f>VALUE(Tabla1[[#This Row],[Columna1]])</f>
        <v>225</v>
      </c>
      <c r="I69" s="1">
        <f t="shared" si="1"/>
        <v>2238.75</v>
      </c>
    </row>
    <row r="70" spans="1:9" x14ac:dyDescent="0.2">
      <c r="A70" s="12" t="s">
        <v>125</v>
      </c>
      <c r="B70" s="12">
        <f>DATEVALUE(Tabla1[[#This Row],[Columna2]])</f>
        <v>45340</v>
      </c>
      <c r="C70" t="s">
        <v>287</v>
      </c>
      <c r="D70" t="s">
        <v>12</v>
      </c>
      <c r="E70" t="str" cm="1">
        <f t="array" ref="E70">_xlfn.IFS(D70="Eventos particulares","Piloto Junior 1",D70="Federaciones y asociaciones deportivas","Piloto Junior 2",D70="Inspecciones agrícolas","Piloto Senior 1",D70="Inspecciones técnicas","Piloto Senior 2")</f>
        <v>Piloto Junior 1</v>
      </c>
      <c r="F70">
        <v>6.77</v>
      </c>
      <c r="G70" s="1" t="str" cm="1">
        <f t="array" ref="G70">_xlfn.IFS(D70="Eventos particulares","225",D70="Federaciones y asociaciones deportivas","250",D70="Inspecciones agrícolas","275",D70="Inspecciones técnicas","300")</f>
        <v>225</v>
      </c>
      <c r="H70" s="1">
        <f>VALUE(Tabla1[[#This Row],[Columna1]])</f>
        <v>225</v>
      </c>
      <c r="I70" s="1">
        <f t="shared" si="1"/>
        <v>1523.25</v>
      </c>
    </row>
    <row r="71" spans="1:9" x14ac:dyDescent="0.2">
      <c r="A71" s="12" t="s">
        <v>190</v>
      </c>
      <c r="B71" s="12">
        <f>DATEVALUE(Tabla1[[#This Row],[Columna2]])</f>
        <v>45341</v>
      </c>
      <c r="C71" t="s">
        <v>285</v>
      </c>
      <c r="D71" t="s">
        <v>4</v>
      </c>
      <c r="E71" t="str" cm="1">
        <f t="array" ref="E71">_xlfn.IFS(D71="Eventos particulares","Piloto Junior 1",D71="Federaciones y asociaciones deportivas","Piloto Junior 2",D71="Inspecciones agrícolas","Piloto Senior 1",D71="Inspecciones técnicas","Piloto Senior 2")</f>
        <v>Piloto Senior 2</v>
      </c>
      <c r="F71">
        <v>10.47</v>
      </c>
      <c r="G71" s="1" t="str" cm="1">
        <f t="array" ref="G71">_xlfn.IFS(D71="Eventos particulares","225",D71="Federaciones y asociaciones deportivas","250",D71="Inspecciones agrícolas","275",D71="Inspecciones técnicas","300")</f>
        <v>300</v>
      </c>
      <c r="H71" s="1">
        <f>VALUE(Tabla1[[#This Row],[Columna1]])</f>
        <v>300</v>
      </c>
      <c r="I71" s="1">
        <f t="shared" si="1"/>
        <v>3141</v>
      </c>
    </row>
    <row r="72" spans="1:9" x14ac:dyDescent="0.2">
      <c r="A72" s="12" t="s">
        <v>190</v>
      </c>
      <c r="B72" s="12">
        <f>DATEVALUE(Tabla1[[#This Row],[Columna2]])</f>
        <v>45341</v>
      </c>
      <c r="C72" t="s">
        <v>286</v>
      </c>
      <c r="D72" t="s">
        <v>6</v>
      </c>
      <c r="E72" t="str" cm="1">
        <f t="array" ref="E72">_xlfn.IFS(D72="Eventos particulares","Piloto Junior 1",D72="Federaciones y asociaciones deportivas","Piloto Junior 2",D72="Inspecciones agrícolas","Piloto Senior 1",D72="Inspecciones técnicas","Piloto Senior 2")</f>
        <v>Piloto Junior 2</v>
      </c>
      <c r="F72">
        <v>5.37</v>
      </c>
      <c r="G72" s="1" t="str" cm="1">
        <f t="array" ref="G72">_xlfn.IFS(D72="Eventos particulares","225",D72="Federaciones y asociaciones deportivas","250",D72="Inspecciones agrícolas","275",D72="Inspecciones técnicas","300")</f>
        <v>250</v>
      </c>
      <c r="H72" s="1">
        <f>VALUE(Tabla1[[#This Row],[Columna1]])</f>
        <v>250</v>
      </c>
      <c r="I72" s="1">
        <f t="shared" si="1"/>
        <v>1342.5</v>
      </c>
    </row>
    <row r="73" spans="1:9" x14ac:dyDescent="0.2">
      <c r="A73" s="12" t="s">
        <v>21</v>
      </c>
      <c r="B73" s="12">
        <f>DATEVALUE(Tabla1[[#This Row],[Columna2]])</f>
        <v>45342</v>
      </c>
      <c r="C73" t="s">
        <v>284</v>
      </c>
      <c r="D73" t="s">
        <v>12</v>
      </c>
      <c r="E73" t="str" cm="1">
        <f t="array" ref="E73">_xlfn.IFS(D73="Eventos particulares","Piloto Junior 1",D73="Federaciones y asociaciones deportivas","Piloto Junior 2",D73="Inspecciones agrícolas","Piloto Senior 1",D73="Inspecciones técnicas","Piloto Senior 2")</f>
        <v>Piloto Junior 1</v>
      </c>
      <c r="F73">
        <v>5.99</v>
      </c>
      <c r="G73" s="1" t="str" cm="1">
        <f t="array" ref="G73">_xlfn.IFS(D73="Eventos particulares","225",D73="Federaciones y asociaciones deportivas","250",D73="Inspecciones agrícolas","275",D73="Inspecciones técnicas","300")</f>
        <v>225</v>
      </c>
      <c r="H73" s="1">
        <f>VALUE(Tabla1[[#This Row],[Columna1]])</f>
        <v>225</v>
      </c>
      <c r="I73" s="1">
        <f t="shared" si="1"/>
        <v>1347.75</v>
      </c>
    </row>
    <row r="74" spans="1:9" x14ac:dyDescent="0.2">
      <c r="A74" s="12" t="s">
        <v>21</v>
      </c>
      <c r="B74" s="12">
        <f>DATEVALUE(Tabla1[[#This Row],[Columna2]])</f>
        <v>45342</v>
      </c>
      <c r="C74" t="s">
        <v>287</v>
      </c>
      <c r="D74" t="s">
        <v>12</v>
      </c>
      <c r="E74" t="str" cm="1">
        <f t="array" ref="E74">_xlfn.IFS(D74="Eventos particulares","Piloto Junior 1",D74="Federaciones y asociaciones deportivas","Piloto Junior 2",D74="Inspecciones agrícolas","Piloto Senior 1",D74="Inspecciones técnicas","Piloto Senior 2")</f>
        <v>Piloto Junior 1</v>
      </c>
      <c r="F74">
        <v>6.52</v>
      </c>
      <c r="G74" s="1" t="str" cm="1">
        <f t="array" ref="G74">_xlfn.IFS(D74="Eventos particulares","225",D74="Federaciones y asociaciones deportivas","250",D74="Inspecciones agrícolas","275",D74="Inspecciones técnicas","300")</f>
        <v>225</v>
      </c>
      <c r="H74" s="1">
        <f>VALUE(Tabla1[[#This Row],[Columna1]])</f>
        <v>225</v>
      </c>
      <c r="I74" s="1">
        <f t="shared" si="1"/>
        <v>1467</v>
      </c>
    </row>
    <row r="75" spans="1:9" x14ac:dyDescent="0.2">
      <c r="A75" s="12" t="s">
        <v>223</v>
      </c>
      <c r="B75" s="12">
        <f>DATEVALUE(Tabla1[[#This Row],[Columna2]])</f>
        <v>45343</v>
      </c>
      <c r="C75" t="s">
        <v>285</v>
      </c>
      <c r="D75" t="s">
        <v>6</v>
      </c>
      <c r="E75" t="str" cm="1">
        <f t="array" ref="E75">_xlfn.IFS(D75="Eventos particulares","Piloto Junior 1",D75="Federaciones y asociaciones deportivas","Piloto Junior 2",D75="Inspecciones agrícolas","Piloto Senior 1",D75="Inspecciones técnicas","Piloto Senior 2")</f>
        <v>Piloto Junior 2</v>
      </c>
      <c r="F75">
        <v>11.71</v>
      </c>
      <c r="G75" s="1" t="str" cm="1">
        <f t="array" ref="G75">_xlfn.IFS(D75="Eventos particulares","225",D75="Federaciones y asociaciones deportivas","250",D75="Inspecciones agrícolas","275",D75="Inspecciones técnicas","300")</f>
        <v>250</v>
      </c>
      <c r="H75" s="1">
        <f>VALUE(Tabla1[[#This Row],[Columna1]])</f>
        <v>250</v>
      </c>
      <c r="I75" s="1">
        <f t="shared" si="1"/>
        <v>2927.5</v>
      </c>
    </row>
    <row r="76" spans="1:9" x14ac:dyDescent="0.2">
      <c r="A76" s="12" t="s">
        <v>223</v>
      </c>
      <c r="B76" s="12">
        <f>DATEVALUE(Tabla1[[#This Row],[Columna2]])</f>
        <v>45343</v>
      </c>
      <c r="C76" t="s">
        <v>286</v>
      </c>
      <c r="D76" t="s">
        <v>4</v>
      </c>
      <c r="E76" t="str" cm="1">
        <f t="array" ref="E76">_xlfn.IFS(D76="Eventos particulares","Piloto Junior 1",D76="Federaciones y asociaciones deportivas","Piloto Junior 2",D76="Inspecciones agrícolas","Piloto Senior 1",D76="Inspecciones técnicas","Piloto Senior 2")</f>
        <v>Piloto Senior 2</v>
      </c>
      <c r="F76">
        <v>6.31</v>
      </c>
      <c r="G76" s="1" t="str" cm="1">
        <f t="array" ref="G76">_xlfn.IFS(D76="Eventos particulares","225",D76="Federaciones y asociaciones deportivas","250",D76="Inspecciones agrícolas","275",D76="Inspecciones técnicas","300")</f>
        <v>300</v>
      </c>
      <c r="H76" s="1">
        <f>VALUE(Tabla1[[#This Row],[Columna1]])</f>
        <v>300</v>
      </c>
      <c r="I76" s="1">
        <f t="shared" si="1"/>
        <v>1892.9999999999998</v>
      </c>
    </row>
    <row r="77" spans="1:9" x14ac:dyDescent="0.2">
      <c r="A77" s="12" t="s">
        <v>223</v>
      </c>
      <c r="B77" s="12">
        <f>DATEVALUE(Tabla1[[#This Row],[Columna2]])</f>
        <v>45343</v>
      </c>
      <c r="C77" t="s">
        <v>286</v>
      </c>
      <c r="D77" t="s">
        <v>4</v>
      </c>
      <c r="E77" t="str" cm="1">
        <f t="array" ref="E77">_xlfn.IFS(D77="Eventos particulares","Piloto Junior 1",D77="Federaciones y asociaciones deportivas","Piloto Junior 2",D77="Inspecciones agrícolas","Piloto Senior 1",D77="Inspecciones técnicas","Piloto Senior 2")</f>
        <v>Piloto Senior 2</v>
      </c>
      <c r="F77">
        <v>12.41</v>
      </c>
      <c r="G77" s="1" t="str" cm="1">
        <f t="array" ref="G77">_xlfn.IFS(D77="Eventos particulares","225",D77="Federaciones y asociaciones deportivas","250",D77="Inspecciones agrícolas","275",D77="Inspecciones técnicas","300")</f>
        <v>300</v>
      </c>
      <c r="H77" s="1">
        <f>VALUE(Tabla1[[#This Row],[Columna1]])</f>
        <v>300</v>
      </c>
      <c r="I77" s="1">
        <f t="shared" si="1"/>
        <v>3723</v>
      </c>
    </row>
    <row r="78" spans="1:9" x14ac:dyDescent="0.2">
      <c r="A78" s="12" t="s">
        <v>223</v>
      </c>
      <c r="B78" s="12">
        <f>DATEVALUE(Tabla1[[#This Row],[Columna2]])</f>
        <v>45343</v>
      </c>
      <c r="C78" t="s">
        <v>286</v>
      </c>
      <c r="D78" t="s">
        <v>17</v>
      </c>
      <c r="E78" t="str" cm="1">
        <f t="array" ref="E78">_xlfn.IFS(D78="Eventos particulares","Piloto Junior 1",D78="Federaciones y asociaciones deportivas","Piloto Junior 2",D78="Inspecciones agrícolas","Piloto Senior 1",D78="Inspecciones técnicas","Piloto Senior 2")</f>
        <v>Piloto Senior 1</v>
      </c>
      <c r="F78">
        <v>12.78</v>
      </c>
      <c r="G78" s="1" t="str" cm="1">
        <f t="array" ref="G78">_xlfn.IFS(D78="Eventos particulares","225",D78="Federaciones y asociaciones deportivas","250",D78="Inspecciones agrícolas","275",D78="Inspecciones técnicas","300")</f>
        <v>275</v>
      </c>
      <c r="H78" s="1">
        <f>VALUE(Tabla1[[#This Row],[Columna1]])</f>
        <v>275</v>
      </c>
      <c r="I78" s="1">
        <f t="shared" si="1"/>
        <v>3514.5</v>
      </c>
    </row>
    <row r="79" spans="1:9" x14ac:dyDescent="0.2">
      <c r="A79" s="12" t="s">
        <v>172</v>
      </c>
      <c r="B79" s="12">
        <f>DATEVALUE(Tabla1[[#This Row],[Columna2]])</f>
        <v>45344</v>
      </c>
      <c r="C79" t="s">
        <v>285</v>
      </c>
      <c r="D79" t="s">
        <v>12</v>
      </c>
      <c r="E79" t="str" cm="1">
        <f t="array" ref="E79">_xlfn.IFS(D79="Eventos particulares","Piloto Junior 1",D79="Federaciones y asociaciones deportivas","Piloto Junior 2",D79="Inspecciones agrícolas","Piloto Senior 1",D79="Inspecciones técnicas","Piloto Senior 2")</f>
        <v>Piloto Junior 1</v>
      </c>
      <c r="F79">
        <v>8.59</v>
      </c>
      <c r="G79" s="1" t="str" cm="1">
        <f t="array" ref="G79">_xlfn.IFS(D79="Eventos particulares","225",D79="Federaciones y asociaciones deportivas","250",D79="Inspecciones agrícolas","275",D79="Inspecciones técnicas","300")</f>
        <v>225</v>
      </c>
      <c r="H79" s="1">
        <f>VALUE(Tabla1[[#This Row],[Columna1]])</f>
        <v>225</v>
      </c>
      <c r="I79" s="1">
        <f t="shared" si="1"/>
        <v>1932.75</v>
      </c>
    </row>
    <row r="80" spans="1:9" x14ac:dyDescent="0.2">
      <c r="A80" s="12" t="s">
        <v>172</v>
      </c>
      <c r="B80" s="12">
        <f>DATEVALUE(Tabla1[[#This Row],[Columna2]])</f>
        <v>45344</v>
      </c>
      <c r="C80" t="s">
        <v>287</v>
      </c>
      <c r="D80" t="s">
        <v>4</v>
      </c>
      <c r="E80" t="str" cm="1">
        <f t="array" ref="E80">_xlfn.IFS(D80="Eventos particulares","Piloto Junior 1",D80="Federaciones y asociaciones deportivas","Piloto Junior 2",D80="Inspecciones agrícolas","Piloto Senior 1",D80="Inspecciones técnicas","Piloto Senior 2")</f>
        <v>Piloto Senior 2</v>
      </c>
      <c r="F80">
        <v>15.91</v>
      </c>
      <c r="G80" s="1" t="str" cm="1">
        <f t="array" ref="G80">_xlfn.IFS(D80="Eventos particulares","225",D80="Federaciones y asociaciones deportivas","250",D80="Inspecciones agrícolas","275",D80="Inspecciones técnicas","300")</f>
        <v>300</v>
      </c>
      <c r="H80" s="1">
        <f>VALUE(Tabla1[[#This Row],[Columna1]])</f>
        <v>300</v>
      </c>
      <c r="I80" s="1">
        <f t="shared" si="1"/>
        <v>4773</v>
      </c>
    </row>
    <row r="81" spans="1:9" x14ac:dyDescent="0.2">
      <c r="A81" s="12" t="s">
        <v>59</v>
      </c>
      <c r="B81" s="12">
        <f>DATEVALUE(Tabla1[[#This Row],[Columna2]])</f>
        <v>45349</v>
      </c>
      <c r="C81" t="s">
        <v>284</v>
      </c>
      <c r="D81" t="s">
        <v>4</v>
      </c>
      <c r="E81" t="str" cm="1">
        <f t="array" ref="E81">_xlfn.IFS(D81="Eventos particulares","Piloto Junior 1",D81="Federaciones y asociaciones deportivas","Piloto Junior 2",D81="Inspecciones agrícolas","Piloto Senior 1",D81="Inspecciones técnicas","Piloto Senior 2")</f>
        <v>Piloto Senior 2</v>
      </c>
      <c r="F81">
        <v>15.67</v>
      </c>
      <c r="G81" s="1" t="str" cm="1">
        <f t="array" ref="G81">_xlfn.IFS(D81="Eventos particulares","225",D81="Federaciones y asociaciones deportivas","250",D81="Inspecciones agrícolas","275",D81="Inspecciones técnicas","300")</f>
        <v>300</v>
      </c>
      <c r="H81" s="1">
        <f>VALUE(Tabla1[[#This Row],[Columna1]])</f>
        <v>300</v>
      </c>
      <c r="I81" s="1">
        <f t="shared" si="1"/>
        <v>4701</v>
      </c>
    </row>
    <row r="82" spans="1:9" x14ac:dyDescent="0.2">
      <c r="A82" s="12" t="s">
        <v>59</v>
      </c>
      <c r="B82" s="12">
        <f>DATEVALUE(Tabla1[[#This Row],[Columna2]])</f>
        <v>45349</v>
      </c>
      <c r="C82" t="s">
        <v>284</v>
      </c>
      <c r="D82" t="s">
        <v>4</v>
      </c>
      <c r="E82" t="str" cm="1">
        <f t="array" ref="E82">_xlfn.IFS(D82="Eventos particulares","Piloto Junior 1",D82="Federaciones y asociaciones deportivas","Piloto Junior 2",D82="Inspecciones agrícolas","Piloto Senior 1",D82="Inspecciones técnicas","Piloto Senior 2")</f>
        <v>Piloto Senior 2</v>
      </c>
      <c r="F82">
        <v>8.8800000000000008</v>
      </c>
      <c r="G82" s="1" t="str" cm="1">
        <f t="array" ref="G82">_xlfn.IFS(D82="Eventos particulares","225",D82="Federaciones y asociaciones deportivas","250",D82="Inspecciones agrícolas","275",D82="Inspecciones técnicas","300")</f>
        <v>300</v>
      </c>
      <c r="H82" s="1">
        <f>VALUE(Tabla1[[#This Row],[Columna1]])</f>
        <v>300</v>
      </c>
      <c r="I82" s="1">
        <f t="shared" si="1"/>
        <v>2664.0000000000005</v>
      </c>
    </row>
    <row r="83" spans="1:9" x14ac:dyDescent="0.2">
      <c r="A83" s="12" t="s">
        <v>59</v>
      </c>
      <c r="B83" s="12">
        <f>DATEVALUE(Tabla1[[#This Row],[Columna2]])</f>
        <v>45349</v>
      </c>
      <c r="C83" t="s">
        <v>286</v>
      </c>
      <c r="D83" t="s">
        <v>6</v>
      </c>
      <c r="E83" t="str" cm="1">
        <f t="array" ref="E83">_xlfn.IFS(D83="Eventos particulares","Piloto Junior 1",D83="Federaciones y asociaciones deportivas","Piloto Junior 2",D83="Inspecciones agrícolas","Piloto Senior 1",D83="Inspecciones técnicas","Piloto Senior 2")</f>
        <v>Piloto Junior 2</v>
      </c>
      <c r="F83">
        <v>9.5399999999999991</v>
      </c>
      <c r="G83" s="1" t="str" cm="1">
        <f t="array" ref="G83">_xlfn.IFS(D83="Eventos particulares","225",D83="Federaciones y asociaciones deportivas","250",D83="Inspecciones agrícolas","275",D83="Inspecciones técnicas","300")</f>
        <v>250</v>
      </c>
      <c r="H83" s="1">
        <f>VALUE(Tabla1[[#This Row],[Columna1]])</f>
        <v>250</v>
      </c>
      <c r="I83" s="1">
        <f t="shared" si="1"/>
        <v>2385</v>
      </c>
    </row>
    <row r="84" spans="1:9" x14ac:dyDescent="0.2">
      <c r="A84" s="12" t="s">
        <v>129</v>
      </c>
      <c r="B84" s="12">
        <f>DATEVALUE(Tabla1[[#This Row],[Columna2]])</f>
        <v>45350</v>
      </c>
      <c r="C84" t="s">
        <v>284</v>
      </c>
      <c r="D84" t="s">
        <v>4</v>
      </c>
      <c r="E84" t="str" cm="1">
        <f t="array" ref="E84">_xlfn.IFS(D84="Eventos particulares","Piloto Junior 1",D84="Federaciones y asociaciones deportivas","Piloto Junior 2",D84="Inspecciones agrícolas","Piloto Senior 1",D84="Inspecciones técnicas","Piloto Senior 2")</f>
        <v>Piloto Senior 2</v>
      </c>
      <c r="F84">
        <v>9.49</v>
      </c>
      <c r="G84" s="1" t="str" cm="1">
        <f t="array" ref="G84">_xlfn.IFS(D84="Eventos particulares","225",D84="Federaciones y asociaciones deportivas","250",D84="Inspecciones agrícolas","275",D84="Inspecciones técnicas","300")</f>
        <v>300</v>
      </c>
      <c r="H84" s="1">
        <f>VALUE(Tabla1[[#This Row],[Columna1]])</f>
        <v>300</v>
      </c>
      <c r="I84" s="1">
        <f t="shared" si="1"/>
        <v>2847</v>
      </c>
    </row>
    <row r="85" spans="1:9" x14ac:dyDescent="0.2">
      <c r="A85" s="12" t="s">
        <v>129</v>
      </c>
      <c r="B85" s="12">
        <f>DATEVALUE(Tabla1[[#This Row],[Columna2]])</f>
        <v>45350</v>
      </c>
      <c r="C85" t="s">
        <v>285</v>
      </c>
      <c r="D85" t="s">
        <v>4</v>
      </c>
      <c r="E85" t="str" cm="1">
        <f t="array" ref="E85">_xlfn.IFS(D85="Eventos particulares","Piloto Junior 1",D85="Federaciones y asociaciones deportivas","Piloto Junior 2",D85="Inspecciones agrícolas","Piloto Senior 1",D85="Inspecciones técnicas","Piloto Senior 2")</f>
        <v>Piloto Senior 2</v>
      </c>
      <c r="F85">
        <v>5.99</v>
      </c>
      <c r="G85" s="1" t="str" cm="1">
        <f t="array" ref="G85">_xlfn.IFS(D85="Eventos particulares","225",D85="Federaciones y asociaciones deportivas","250",D85="Inspecciones agrícolas","275",D85="Inspecciones técnicas","300")</f>
        <v>300</v>
      </c>
      <c r="H85" s="1">
        <f>VALUE(Tabla1[[#This Row],[Columna1]])</f>
        <v>300</v>
      </c>
      <c r="I85" s="1">
        <f t="shared" si="1"/>
        <v>1797</v>
      </c>
    </row>
    <row r="86" spans="1:9" x14ac:dyDescent="0.2">
      <c r="A86" s="12" t="s">
        <v>49</v>
      </c>
      <c r="B86" s="12">
        <f>DATEVALUE(Tabla1[[#This Row],[Columna2]])</f>
        <v>45351</v>
      </c>
      <c r="C86" t="s">
        <v>284</v>
      </c>
      <c r="D86" t="s">
        <v>17</v>
      </c>
      <c r="E86" t="str" cm="1">
        <f t="array" ref="E86">_xlfn.IFS(D86="Eventos particulares","Piloto Junior 1",D86="Federaciones y asociaciones deportivas","Piloto Junior 2",D86="Inspecciones agrícolas","Piloto Senior 1",D86="Inspecciones técnicas","Piloto Senior 2")</f>
        <v>Piloto Senior 1</v>
      </c>
      <c r="F86">
        <v>14.73</v>
      </c>
      <c r="G86" s="1" t="str" cm="1">
        <f t="array" ref="G86">_xlfn.IFS(D86="Eventos particulares","225",D86="Federaciones y asociaciones deportivas","250",D86="Inspecciones agrícolas","275",D86="Inspecciones técnicas","300")</f>
        <v>275</v>
      </c>
      <c r="H86" s="1">
        <f>VALUE(Tabla1[[#This Row],[Columna1]])</f>
        <v>275</v>
      </c>
      <c r="I86" s="1">
        <f t="shared" si="1"/>
        <v>4050.75</v>
      </c>
    </row>
    <row r="87" spans="1:9" x14ac:dyDescent="0.2">
      <c r="A87" s="12" t="s">
        <v>168</v>
      </c>
      <c r="B87" s="12">
        <f>DATEVALUE(Tabla1[[#This Row],[Columna2]])</f>
        <v>45352</v>
      </c>
      <c r="C87" t="s">
        <v>285</v>
      </c>
      <c r="D87" t="s">
        <v>4</v>
      </c>
      <c r="E87" t="str" cm="1">
        <f t="array" ref="E87">_xlfn.IFS(D87="Eventos particulares","Piloto Junior 1",D87="Federaciones y asociaciones deportivas","Piloto Junior 2",D87="Inspecciones agrícolas","Piloto Senior 1",D87="Inspecciones técnicas","Piloto Senior 2")</f>
        <v>Piloto Senior 2</v>
      </c>
      <c r="F87">
        <v>9.39</v>
      </c>
      <c r="G87" s="1" t="str" cm="1">
        <f t="array" ref="G87">_xlfn.IFS(D87="Eventos particulares","225",D87="Federaciones y asociaciones deportivas","250",D87="Inspecciones agrícolas","275",D87="Inspecciones técnicas","300")</f>
        <v>300</v>
      </c>
      <c r="H87" s="1">
        <f>VALUE(Tabla1[[#This Row],[Columna1]])</f>
        <v>300</v>
      </c>
      <c r="I87" s="1">
        <f t="shared" si="1"/>
        <v>2817</v>
      </c>
    </row>
    <row r="88" spans="1:9" x14ac:dyDescent="0.2">
      <c r="A88" s="12" t="s">
        <v>168</v>
      </c>
      <c r="B88" s="12">
        <f>DATEVALUE(Tabla1[[#This Row],[Columna2]])</f>
        <v>45352</v>
      </c>
      <c r="C88" t="s">
        <v>286</v>
      </c>
      <c r="D88" t="s">
        <v>12</v>
      </c>
      <c r="E88" t="str" cm="1">
        <f t="array" ref="E88">_xlfn.IFS(D88="Eventos particulares","Piloto Junior 1",D88="Federaciones y asociaciones deportivas","Piloto Junior 2",D88="Inspecciones agrícolas","Piloto Senior 1",D88="Inspecciones técnicas","Piloto Senior 2")</f>
        <v>Piloto Junior 1</v>
      </c>
      <c r="F88">
        <v>15.04</v>
      </c>
      <c r="G88" s="1" t="str" cm="1">
        <f t="array" ref="G88">_xlfn.IFS(D88="Eventos particulares","225",D88="Federaciones y asociaciones deportivas","250",D88="Inspecciones agrícolas","275",D88="Inspecciones técnicas","300")</f>
        <v>225</v>
      </c>
      <c r="H88" s="1">
        <f>VALUE(Tabla1[[#This Row],[Columna1]])</f>
        <v>225</v>
      </c>
      <c r="I88" s="1">
        <f t="shared" si="1"/>
        <v>3384</v>
      </c>
    </row>
    <row r="89" spans="1:9" x14ac:dyDescent="0.2">
      <c r="A89" s="12" t="s">
        <v>168</v>
      </c>
      <c r="B89" s="12">
        <f>DATEVALUE(Tabla1[[#This Row],[Columna2]])</f>
        <v>45352</v>
      </c>
      <c r="C89" t="s">
        <v>287</v>
      </c>
      <c r="D89" t="s">
        <v>12</v>
      </c>
      <c r="E89" t="str" cm="1">
        <f t="array" ref="E89">_xlfn.IFS(D89="Eventos particulares","Piloto Junior 1",D89="Federaciones y asociaciones deportivas","Piloto Junior 2",D89="Inspecciones agrícolas","Piloto Senior 1",D89="Inspecciones técnicas","Piloto Senior 2")</f>
        <v>Piloto Junior 1</v>
      </c>
      <c r="F89">
        <v>9.86</v>
      </c>
      <c r="G89" s="1" t="str" cm="1">
        <f t="array" ref="G89">_xlfn.IFS(D89="Eventos particulares","225",D89="Federaciones y asociaciones deportivas","250",D89="Inspecciones agrícolas","275",D89="Inspecciones técnicas","300")</f>
        <v>225</v>
      </c>
      <c r="H89" s="1">
        <f>VALUE(Tabla1[[#This Row],[Columna1]])</f>
        <v>225</v>
      </c>
      <c r="I89" s="1">
        <f t="shared" si="1"/>
        <v>2218.5</v>
      </c>
    </row>
    <row r="90" spans="1:9" x14ac:dyDescent="0.2">
      <c r="A90" s="12" t="s">
        <v>230</v>
      </c>
      <c r="B90" s="12">
        <f>DATEVALUE(Tabla1[[#This Row],[Columna2]])</f>
        <v>45353</v>
      </c>
      <c r="C90" t="s">
        <v>286</v>
      </c>
      <c r="D90" t="s">
        <v>12</v>
      </c>
      <c r="E90" t="str" cm="1">
        <f t="array" ref="E90">_xlfn.IFS(D90="Eventos particulares","Piloto Junior 1",D90="Federaciones y asociaciones deportivas","Piloto Junior 2",D90="Inspecciones agrícolas","Piloto Senior 1",D90="Inspecciones técnicas","Piloto Senior 2")</f>
        <v>Piloto Junior 1</v>
      </c>
      <c r="F90">
        <v>14.54</v>
      </c>
      <c r="G90" s="1" t="str" cm="1">
        <f t="array" ref="G90">_xlfn.IFS(D90="Eventos particulares","225",D90="Federaciones y asociaciones deportivas","250",D90="Inspecciones agrícolas","275",D90="Inspecciones técnicas","300")</f>
        <v>225</v>
      </c>
      <c r="H90" s="1">
        <f>VALUE(Tabla1[[#This Row],[Columna1]])</f>
        <v>225</v>
      </c>
      <c r="I90" s="1">
        <f t="shared" si="1"/>
        <v>3271.5</v>
      </c>
    </row>
    <row r="91" spans="1:9" x14ac:dyDescent="0.2">
      <c r="A91" s="12" t="s">
        <v>50</v>
      </c>
      <c r="B91" s="12">
        <f>DATEVALUE(Tabla1[[#This Row],[Columna2]])</f>
        <v>45355</v>
      </c>
      <c r="C91" t="s">
        <v>284</v>
      </c>
      <c r="D91" t="s">
        <v>4</v>
      </c>
      <c r="E91" t="str" cm="1">
        <f t="array" ref="E91">_xlfn.IFS(D91="Eventos particulares","Piloto Junior 1",D91="Federaciones y asociaciones deportivas","Piloto Junior 2",D91="Inspecciones agrícolas","Piloto Senior 1",D91="Inspecciones técnicas","Piloto Senior 2")</f>
        <v>Piloto Senior 2</v>
      </c>
      <c r="F91">
        <v>4.7699999999999996</v>
      </c>
      <c r="G91" s="1" t="str" cm="1">
        <f t="array" ref="G91">_xlfn.IFS(D91="Eventos particulares","225",D91="Federaciones y asociaciones deportivas","250",D91="Inspecciones agrícolas","275",D91="Inspecciones técnicas","300")</f>
        <v>300</v>
      </c>
      <c r="H91" s="1">
        <f>VALUE(Tabla1[[#This Row],[Columna1]])</f>
        <v>300</v>
      </c>
      <c r="I91" s="1">
        <f t="shared" si="1"/>
        <v>1430.9999999999998</v>
      </c>
    </row>
    <row r="92" spans="1:9" x14ac:dyDescent="0.2">
      <c r="A92" s="12" t="s">
        <v>113</v>
      </c>
      <c r="B92" s="12">
        <f>DATEVALUE(Tabla1[[#This Row],[Columna2]])</f>
        <v>45357</v>
      </c>
      <c r="C92" t="s">
        <v>284</v>
      </c>
      <c r="D92" t="s">
        <v>4</v>
      </c>
      <c r="E92" t="str" cm="1">
        <f t="array" ref="E92">_xlfn.IFS(D92="Eventos particulares","Piloto Junior 1",D92="Federaciones y asociaciones deportivas","Piloto Junior 2",D92="Inspecciones agrícolas","Piloto Senior 1",D92="Inspecciones técnicas","Piloto Senior 2")</f>
        <v>Piloto Senior 2</v>
      </c>
      <c r="F92">
        <v>13.77</v>
      </c>
      <c r="G92" s="1" t="str" cm="1">
        <f t="array" ref="G92">_xlfn.IFS(D92="Eventos particulares","225",D92="Federaciones y asociaciones deportivas","250",D92="Inspecciones agrícolas","275",D92="Inspecciones técnicas","300")</f>
        <v>300</v>
      </c>
      <c r="H92" s="1">
        <f>VALUE(Tabla1[[#This Row],[Columna1]])</f>
        <v>300</v>
      </c>
      <c r="I92" s="1">
        <f t="shared" si="1"/>
        <v>4131</v>
      </c>
    </row>
    <row r="93" spans="1:9" x14ac:dyDescent="0.2">
      <c r="A93" s="12" t="s">
        <v>113</v>
      </c>
      <c r="B93" s="12">
        <f>DATEVALUE(Tabla1[[#This Row],[Columna2]])</f>
        <v>45357</v>
      </c>
      <c r="C93" t="s">
        <v>285</v>
      </c>
      <c r="D93" t="s">
        <v>4</v>
      </c>
      <c r="E93" t="str" cm="1">
        <f t="array" ref="E93">_xlfn.IFS(D93="Eventos particulares","Piloto Junior 1",D93="Federaciones y asociaciones deportivas","Piloto Junior 2",D93="Inspecciones agrícolas","Piloto Senior 1",D93="Inspecciones técnicas","Piloto Senior 2")</f>
        <v>Piloto Senior 2</v>
      </c>
      <c r="F93">
        <v>6.49</v>
      </c>
      <c r="G93" s="1" t="str" cm="1">
        <f t="array" ref="G93">_xlfn.IFS(D93="Eventos particulares","225",D93="Federaciones y asociaciones deportivas","250",D93="Inspecciones agrícolas","275",D93="Inspecciones técnicas","300")</f>
        <v>300</v>
      </c>
      <c r="H93" s="1">
        <f>VALUE(Tabla1[[#This Row],[Columna1]])</f>
        <v>300</v>
      </c>
      <c r="I93" s="1">
        <f t="shared" si="1"/>
        <v>1947</v>
      </c>
    </row>
    <row r="94" spans="1:9" x14ac:dyDescent="0.2">
      <c r="A94" s="12" t="s">
        <v>87</v>
      </c>
      <c r="B94" s="12">
        <f>DATEVALUE(Tabla1[[#This Row],[Columna2]])</f>
        <v>45362</v>
      </c>
      <c r="C94" t="s">
        <v>284</v>
      </c>
      <c r="D94" t="s">
        <v>17</v>
      </c>
      <c r="E94" t="str" cm="1">
        <f t="array" ref="E94">_xlfn.IFS(D94="Eventos particulares","Piloto Junior 1",D94="Federaciones y asociaciones deportivas","Piloto Junior 2",D94="Inspecciones agrícolas","Piloto Senior 1",D94="Inspecciones técnicas","Piloto Senior 2")</f>
        <v>Piloto Senior 1</v>
      </c>
      <c r="F94">
        <v>15.97</v>
      </c>
      <c r="G94" s="1" t="str" cm="1">
        <f t="array" ref="G94">_xlfn.IFS(D94="Eventos particulares","225",D94="Federaciones y asociaciones deportivas","250",D94="Inspecciones agrícolas","275",D94="Inspecciones técnicas","300")</f>
        <v>275</v>
      </c>
      <c r="H94" s="1">
        <f>VALUE(Tabla1[[#This Row],[Columna1]])</f>
        <v>275</v>
      </c>
      <c r="I94" s="1">
        <f t="shared" si="1"/>
        <v>4391.75</v>
      </c>
    </row>
    <row r="95" spans="1:9" x14ac:dyDescent="0.2">
      <c r="A95" s="12" t="s">
        <v>87</v>
      </c>
      <c r="B95" s="12">
        <f>DATEVALUE(Tabla1[[#This Row],[Columna2]])</f>
        <v>45362</v>
      </c>
      <c r="C95" t="s">
        <v>285</v>
      </c>
      <c r="D95" t="s">
        <v>12</v>
      </c>
      <c r="E95" t="str" cm="1">
        <f t="array" ref="E95">_xlfn.IFS(D95="Eventos particulares","Piloto Junior 1",D95="Federaciones y asociaciones deportivas","Piloto Junior 2",D95="Inspecciones agrícolas","Piloto Senior 1",D95="Inspecciones técnicas","Piloto Senior 2")</f>
        <v>Piloto Junior 1</v>
      </c>
      <c r="F95">
        <v>8.89</v>
      </c>
      <c r="G95" s="1" t="str" cm="1">
        <f t="array" ref="G95">_xlfn.IFS(D95="Eventos particulares","225",D95="Federaciones y asociaciones deportivas","250",D95="Inspecciones agrícolas","275",D95="Inspecciones técnicas","300")</f>
        <v>225</v>
      </c>
      <c r="H95" s="1">
        <f>VALUE(Tabla1[[#This Row],[Columna1]])</f>
        <v>225</v>
      </c>
      <c r="I95" s="1">
        <f t="shared" si="1"/>
        <v>2000.2500000000002</v>
      </c>
    </row>
    <row r="96" spans="1:9" x14ac:dyDescent="0.2">
      <c r="A96" s="12" t="s">
        <v>87</v>
      </c>
      <c r="B96" s="12">
        <f>DATEVALUE(Tabla1[[#This Row],[Columna2]])</f>
        <v>45362</v>
      </c>
      <c r="C96" t="s">
        <v>286</v>
      </c>
      <c r="D96" t="s">
        <v>6</v>
      </c>
      <c r="E96" t="str" cm="1">
        <f t="array" ref="E96">_xlfn.IFS(D96="Eventos particulares","Piloto Junior 1",D96="Federaciones y asociaciones deportivas","Piloto Junior 2",D96="Inspecciones agrícolas","Piloto Senior 1",D96="Inspecciones técnicas","Piloto Senior 2")</f>
        <v>Piloto Junior 2</v>
      </c>
      <c r="F96">
        <v>10.8</v>
      </c>
      <c r="G96" s="1" t="str" cm="1">
        <f t="array" ref="G96">_xlfn.IFS(D96="Eventos particulares","225",D96="Federaciones y asociaciones deportivas","250",D96="Inspecciones agrícolas","275",D96="Inspecciones técnicas","300")</f>
        <v>250</v>
      </c>
      <c r="H96" s="1">
        <f>VALUE(Tabla1[[#This Row],[Columna1]])</f>
        <v>250</v>
      </c>
      <c r="I96" s="1">
        <f t="shared" si="1"/>
        <v>2700</v>
      </c>
    </row>
    <row r="97" spans="1:9" x14ac:dyDescent="0.2">
      <c r="A97" s="12" t="s">
        <v>157</v>
      </c>
      <c r="B97" s="12">
        <f>DATEVALUE(Tabla1[[#This Row],[Columna2]])</f>
        <v>45363</v>
      </c>
      <c r="C97" t="s">
        <v>284</v>
      </c>
      <c r="D97" t="s">
        <v>4</v>
      </c>
      <c r="E97" t="str" cm="1">
        <f t="array" ref="E97">_xlfn.IFS(D97="Eventos particulares","Piloto Junior 1",D97="Federaciones y asociaciones deportivas","Piloto Junior 2",D97="Inspecciones agrícolas","Piloto Senior 1",D97="Inspecciones técnicas","Piloto Senior 2")</f>
        <v>Piloto Senior 2</v>
      </c>
      <c r="F97">
        <v>11.19</v>
      </c>
      <c r="G97" s="1" t="str" cm="1">
        <f t="array" ref="G97">_xlfn.IFS(D97="Eventos particulares","225",D97="Federaciones y asociaciones deportivas","250",D97="Inspecciones agrícolas","275",D97="Inspecciones técnicas","300")</f>
        <v>300</v>
      </c>
      <c r="H97" s="1">
        <f>VALUE(Tabla1[[#This Row],[Columna1]])</f>
        <v>300</v>
      </c>
      <c r="I97" s="1">
        <f t="shared" si="1"/>
        <v>3357</v>
      </c>
    </row>
    <row r="98" spans="1:9" x14ac:dyDescent="0.2">
      <c r="A98" s="12" t="s">
        <v>157</v>
      </c>
      <c r="B98" s="12">
        <f>DATEVALUE(Tabla1[[#This Row],[Columna2]])</f>
        <v>45363</v>
      </c>
      <c r="C98" t="s">
        <v>285</v>
      </c>
      <c r="D98" t="s">
        <v>4</v>
      </c>
      <c r="E98" t="str" cm="1">
        <f t="array" ref="E98">_xlfn.IFS(D98="Eventos particulares","Piloto Junior 1",D98="Federaciones y asociaciones deportivas","Piloto Junior 2",D98="Inspecciones agrícolas","Piloto Senior 1",D98="Inspecciones técnicas","Piloto Senior 2")</f>
        <v>Piloto Senior 2</v>
      </c>
      <c r="F98">
        <v>12.85</v>
      </c>
      <c r="G98" s="1" t="str" cm="1">
        <f t="array" ref="G98">_xlfn.IFS(D98="Eventos particulares","225",D98="Federaciones y asociaciones deportivas","250",D98="Inspecciones agrícolas","275",D98="Inspecciones técnicas","300")</f>
        <v>300</v>
      </c>
      <c r="H98" s="1">
        <f>VALUE(Tabla1[[#This Row],[Columna1]])</f>
        <v>300</v>
      </c>
      <c r="I98" s="1">
        <f t="shared" si="1"/>
        <v>3855</v>
      </c>
    </row>
    <row r="99" spans="1:9" x14ac:dyDescent="0.2">
      <c r="A99" s="12" t="s">
        <v>270</v>
      </c>
      <c r="B99" s="12">
        <f>DATEVALUE(Tabla1[[#This Row],[Columna2]])</f>
        <v>45364</v>
      </c>
      <c r="C99" t="s">
        <v>287</v>
      </c>
      <c r="D99" t="s">
        <v>17</v>
      </c>
      <c r="E99" t="str" cm="1">
        <f t="array" ref="E99">_xlfn.IFS(D99="Eventos particulares","Piloto Junior 1",D99="Federaciones y asociaciones deportivas","Piloto Junior 2",D99="Inspecciones agrícolas","Piloto Senior 1",D99="Inspecciones técnicas","Piloto Senior 2")</f>
        <v>Piloto Senior 1</v>
      </c>
      <c r="F99">
        <v>10.6</v>
      </c>
      <c r="G99" s="1" t="str" cm="1">
        <f t="array" ref="G99">_xlfn.IFS(D99="Eventos particulares","225",D99="Federaciones y asociaciones deportivas","250",D99="Inspecciones agrícolas","275",D99="Inspecciones técnicas","300")</f>
        <v>275</v>
      </c>
      <c r="H99" s="1">
        <f>VALUE(Tabla1[[#This Row],[Columna1]])</f>
        <v>275</v>
      </c>
      <c r="I99" s="1">
        <f t="shared" si="1"/>
        <v>2915</v>
      </c>
    </row>
    <row r="100" spans="1:9" x14ac:dyDescent="0.2">
      <c r="A100" s="12" t="s">
        <v>268</v>
      </c>
      <c r="B100" s="12">
        <f>DATEVALUE(Tabla1[[#This Row],[Columna2]])</f>
        <v>45365</v>
      </c>
      <c r="C100" t="s">
        <v>287</v>
      </c>
      <c r="D100" t="s">
        <v>12</v>
      </c>
      <c r="E100" t="str" cm="1">
        <f t="array" ref="E100">_xlfn.IFS(D100="Eventos particulares","Piloto Junior 1",D100="Federaciones y asociaciones deportivas","Piloto Junior 2",D100="Inspecciones agrícolas","Piloto Senior 1",D100="Inspecciones técnicas","Piloto Senior 2")</f>
        <v>Piloto Junior 1</v>
      </c>
      <c r="F100">
        <v>15.74</v>
      </c>
      <c r="G100" s="1" t="str" cm="1">
        <f t="array" ref="G100">_xlfn.IFS(D100="Eventos particulares","225",D100="Federaciones y asociaciones deportivas","250",D100="Inspecciones agrícolas","275",D100="Inspecciones técnicas","300")</f>
        <v>225</v>
      </c>
      <c r="H100" s="1">
        <f>VALUE(Tabla1[[#This Row],[Columna1]])</f>
        <v>225</v>
      </c>
      <c r="I100" s="1">
        <f t="shared" si="1"/>
        <v>3541.5</v>
      </c>
    </row>
    <row r="101" spans="1:9" x14ac:dyDescent="0.2">
      <c r="A101" s="12" t="s">
        <v>38</v>
      </c>
      <c r="B101" s="12">
        <f>DATEVALUE(Tabla1[[#This Row],[Columna2]])</f>
        <v>45369</v>
      </c>
      <c r="C101" t="s">
        <v>284</v>
      </c>
      <c r="D101" t="s">
        <v>4</v>
      </c>
      <c r="E101" t="str" cm="1">
        <f t="array" ref="E101">_xlfn.IFS(D101="Eventos particulares","Piloto Junior 1",D101="Federaciones y asociaciones deportivas","Piloto Junior 2",D101="Inspecciones agrícolas","Piloto Senior 1",D101="Inspecciones técnicas","Piloto Senior 2")</f>
        <v>Piloto Senior 2</v>
      </c>
      <c r="F101">
        <v>11.1</v>
      </c>
      <c r="G101" s="1" t="str" cm="1">
        <f t="array" ref="G101">_xlfn.IFS(D101="Eventos particulares","225",D101="Federaciones y asociaciones deportivas","250",D101="Inspecciones agrícolas","275",D101="Inspecciones técnicas","300")</f>
        <v>300</v>
      </c>
      <c r="H101" s="1">
        <f>VALUE(Tabla1[[#This Row],[Columna1]])</f>
        <v>300</v>
      </c>
      <c r="I101" s="1">
        <f t="shared" si="1"/>
        <v>3330</v>
      </c>
    </row>
    <row r="102" spans="1:9" x14ac:dyDescent="0.2">
      <c r="A102" s="12" t="s">
        <v>38</v>
      </c>
      <c r="B102" s="12">
        <f>DATEVALUE(Tabla1[[#This Row],[Columna2]])</f>
        <v>45369</v>
      </c>
      <c r="C102" t="s">
        <v>284</v>
      </c>
      <c r="D102" t="s">
        <v>12</v>
      </c>
      <c r="E102" t="str" cm="1">
        <f t="array" ref="E102">_xlfn.IFS(D102="Eventos particulares","Piloto Junior 1",D102="Federaciones y asociaciones deportivas","Piloto Junior 2",D102="Inspecciones agrícolas","Piloto Senior 1",D102="Inspecciones técnicas","Piloto Senior 2")</f>
        <v>Piloto Junior 1</v>
      </c>
      <c r="F102">
        <v>15.44</v>
      </c>
      <c r="G102" s="1" t="str" cm="1">
        <f t="array" ref="G102">_xlfn.IFS(D102="Eventos particulares","225",D102="Federaciones y asociaciones deportivas","250",D102="Inspecciones agrícolas","275",D102="Inspecciones técnicas","300")</f>
        <v>225</v>
      </c>
      <c r="H102" s="1">
        <f>VALUE(Tabla1[[#This Row],[Columna1]])</f>
        <v>225</v>
      </c>
      <c r="I102" s="1">
        <f t="shared" si="1"/>
        <v>3474</v>
      </c>
    </row>
    <row r="103" spans="1:9" x14ac:dyDescent="0.2">
      <c r="A103" s="12" t="s">
        <v>38</v>
      </c>
      <c r="B103" s="12">
        <f>DATEVALUE(Tabla1[[#This Row],[Columna2]])</f>
        <v>45369</v>
      </c>
      <c r="C103" t="s">
        <v>287</v>
      </c>
      <c r="D103" t="s">
        <v>12</v>
      </c>
      <c r="E103" t="str" cm="1">
        <f t="array" ref="E103">_xlfn.IFS(D103="Eventos particulares","Piloto Junior 1",D103="Federaciones y asociaciones deportivas","Piloto Junior 2",D103="Inspecciones agrícolas","Piloto Senior 1",D103="Inspecciones técnicas","Piloto Senior 2")</f>
        <v>Piloto Junior 1</v>
      </c>
      <c r="F103">
        <v>13.6</v>
      </c>
      <c r="G103" s="1" t="str" cm="1">
        <f t="array" ref="G103">_xlfn.IFS(D103="Eventos particulares","225",D103="Federaciones y asociaciones deportivas","250",D103="Inspecciones agrícolas","275",D103="Inspecciones técnicas","300")</f>
        <v>225</v>
      </c>
      <c r="H103" s="1">
        <f>VALUE(Tabla1[[#This Row],[Columna1]])</f>
        <v>225</v>
      </c>
      <c r="I103" s="1">
        <f t="shared" si="1"/>
        <v>3060</v>
      </c>
    </row>
    <row r="104" spans="1:9" x14ac:dyDescent="0.2">
      <c r="A104" s="12" t="s">
        <v>36</v>
      </c>
      <c r="B104" s="12">
        <f>DATEVALUE(Tabla1[[#This Row],[Columna2]])</f>
        <v>45370</v>
      </c>
      <c r="C104" t="s">
        <v>284</v>
      </c>
      <c r="D104" t="s">
        <v>4</v>
      </c>
      <c r="E104" t="str" cm="1">
        <f t="array" ref="E104">_xlfn.IFS(D104="Eventos particulares","Piloto Junior 1",D104="Federaciones y asociaciones deportivas","Piloto Junior 2",D104="Inspecciones agrícolas","Piloto Senior 1",D104="Inspecciones técnicas","Piloto Senior 2")</f>
        <v>Piloto Senior 2</v>
      </c>
      <c r="F104">
        <v>10.45</v>
      </c>
      <c r="G104" s="1" t="str" cm="1">
        <f t="array" ref="G104">_xlfn.IFS(D104="Eventos particulares","225",D104="Federaciones y asociaciones deportivas","250",D104="Inspecciones agrícolas","275",D104="Inspecciones técnicas","300")</f>
        <v>300</v>
      </c>
      <c r="H104" s="1">
        <f>VALUE(Tabla1[[#This Row],[Columna1]])</f>
        <v>300</v>
      </c>
      <c r="I104" s="1">
        <f t="shared" si="1"/>
        <v>3135</v>
      </c>
    </row>
    <row r="105" spans="1:9" x14ac:dyDescent="0.2">
      <c r="A105" s="12" t="s">
        <v>36</v>
      </c>
      <c r="B105" s="12">
        <f>DATEVALUE(Tabla1[[#This Row],[Columna2]])</f>
        <v>45370</v>
      </c>
      <c r="C105" t="s">
        <v>286</v>
      </c>
      <c r="D105" t="s">
        <v>12</v>
      </c>
      <c r="E105" t="str" cm="1">
        <f t="array" ref="E105">_xlfn.IFS(D105="Eventos particulares","Piloto Junior 1",D105="Federaciones y asociaciones deportivas","Piloto Junior 2",D105="Inspecciones agrícolas","Piloto Senior 1",D105="Inspecciones técnicas","Piloto Senior 2")</f>
        <v>Piloto Junior 1</v>
      </c>
      <c r="F105">
        <v>11.41</v>
      </c>
      <c r="G105" s="1" t="str" cm="1">
        <f t="array" ref="G105">_xlfn.IFS(D105="Eventos particulares","225",D105="Federaciones y asociaciones deportivas","250",D105="Inspecciones agrícolas","275",D105="Inspecciones técnicas","300")</f>
        <v>225</v>
      </c>
      <c r="H105" s="1">
        <f>VALUE(Tabla1[[#This Row],[Columna1]])</f>
        <v>225</v>
      </c>
      <c r="I105" s="1">
        <f t="shared" si="1"/>
        <v>2567.25</v>
      </c>
    </row>
    <row r="106" spans="1:9" x14ac:dyDescent="0.2">
      <c r="A106" s="12" t="s">
        <v>35</v>
      </c>
      <c r="B106" s="12">
        <f>DATEVALUE(Tabla1[[#This Row],[Columna2]])</f>
        <v>45371</v>
      </c>
      <c r="C106" t="s">
        <v>284</v>
      </c>
      <c r="D106" t="s">
        <v>4</v>
      </c>
      <c r="E106" t="str" cm="1">
        <f t="array" ref="E106">_xlfn.IFS(D106="Eventos particulares","Piloto Junior 1",D106="Federaciones y asociaciones deportivas","Piloto Junior 2",D106="Inspecciones agrícolas","Piloto Senior 1",D106="Inspecciones técnicas","Piloto Senior 2")</f>
        <v>Piloto Senior 2</v>
      </c>
      <c r="F106">
        <v>6.46</v>
      </c>
      <c r="G106" s="1" t="str" cm="1">
        <f t="array" ref="G106">_xlfn.IFS(D106="Eventos particulares","225",D106="Federaciones y asociaciones deportivas","250",D106="Inspecciones agrícolas","275",D106="Inspecciones técnicas","300")</f>
        <v>300</v>
      </c>
      <c r="H106" s="1">
        <f>VALUE(Tabla1[[#This Row],[Columna1]])</f>
        <v>300</v>
      </c>
      <c r="I106" s="1">
        <f t="shared" si="1"/>
        <v>1938</v>
      </c>
    </row>
    <row r="107" spans="1:9" x14ac:dyDescent="0.2">
      <c r="A107" s="12" t="s">
        <v>35</v>
      </c>
      <c r="B107" s="12">
        <f>DATEVALUE(Tabla1[[#This Row],[Columna2]])</f>
        <v>45371</v>
      </c>
      <c r="C107" t="s">
        <v>285</v>
      </c>
      <c r="D107" t="s">
        <v>6</v>
      </c>
      <c r="E107" t="str" cm="1">
        <f t="array" ref="E107">_xlfn.IFS(D107="Eventos particulares","Piloto Junior 1",D107="Federaciones y asociaciones deportivas","Piloto Junior 2",D107="Inspecciones agrícolas","Piloto Senior 1",D107="Inspecciones técnicas","Piloto Senior 2")</f>
        <v>Piloto Junior 2</v>
      </c>
      <c r="F107">
        <v>12.23</v>
      </c>
      <c r="G107" s="1" t="str" cm="1">
        <f t="array" ref="G107">_xlfn.IFS(D107="Eventos particulares","225",D107="Federaciones y asociaciones deportivas","250",D107="Inspecciones agrícolas","275",D107="Inspecciones técnicas","300")</f>
        <v>250</v>
      </c>
      <c r="H107" s="1">
        <f>VALUE(Tabla1[[#This Row],[Columna1]])</f>
        <v>250</v>
      </c>
      <c r="I107" s="1">
        <f t="shared" si="1"/>
        <v>3057.5</v>
      </c>
    </row>
    <row r="108" spans="1:9" x14ac:dyDescent="0.2">
      <c r="A108" s="12" t="s">
        <v>35</v>
      </c>
      <c r="B108" s="12">
        <f>DATEVALUE(Tabla1[[#This Row],[Columna2]])</f>
        <v>45371</v>
      </c>
      <c r="C108" t="s">
        <v>286</v>
      </c>
      <c r="D108" t="s">
        <v>4</v>
      </c>
      <c r="E108" t="str" cm="1">
        <f t="array" ref="E108">_xlfn.IFS(D108="Eventos particulares","Piloto Junior 1",D108="Federaciones y asociaciones deportivas","Piloto Junior 2",D108="Inspecciones agrícolas","Piloto Senior 1",D108="Inspecciones técnicas","Piloto Senior 2")</f>
        <v>Piloto Senior 2</v>
      </c>
      <c r="F108">
        <v>5.98</v>
      </c>
      <c r="G108" s="1" t="str" cm="1">
        <f t="array" ref="G108">_xlfn.IFS(D108="Eventos particulares","225",D108="Federaciones y asociaciones deportivas","250",D108="Inspecciones agrícolas","275",D108="Inspecciones técnicas","300")</f>
        <v>300</v>
      </c>
      <c r="H108" s="1">
        <f>VALUE(Tabla1[[#This Row],[Columna1]])</f>
        <v>300</v>
      </c>
      <c r="I108" s="1">
        <f t="shared" si="1"/>
        <v>1794.0000000000002</v>
      </c>
    </row>
    <row r="109" spans="1:9" x14ac:dyDescent="0.2">
      <c r="A109" s="12" t="s">
        <v>139</v>
      </c>
      <c r="B109" s="12">
        <f>DATEVALUE(Tabla1[[#This Row],[Columna2]])</f>
        <v>45372</v>
      </c>
      <c r="C109" t="s">
        <v>284</v>
      </c>
      <c r="D109" t="s">
        <v>12</v>
      </c>
      <c r="E109" t="str" cm="1">
        <f t="array" ref="E109">_xlfn.IFS(D109="Eventos particulares","Piloto Junior 1",D109="Federaciones y asociaciones deportivas","Piloto Junior 2",D109="Inspecciones agrícolas","Piloto Senior 1",D109="Inspecciones técnicas","Piloto Senior 2")</f>
        <v>Piloto Junior 1</v>
      </c>
      <c r="F109">
        <v>7.14</v>
      </c>
      <c r="G109" s="1" t="str" cm="1">
        <f t="array" ref="G109">_xlfn.IFS(D109="Eventos particulares","225",D109="Federaciones y asociaciones deportivas","250",D109="Inspecciones agrícolas","275",D109="Inspecciones técnicas","300")</f>
        <v>225</v>
      </c>
      <c r="H109" s="1">
        <f>VALUE(Tabla1[[#This Row],[Columna1]])</f>
        <v>225</v>
      </c>
      <c r="I109" s="1">
        <f t="shared" si="1"/>
        <v>1606.5</v>
      </c>
    </row>
    <row r="110" spans="1:9" x14ac:dyDescent="0.2">
      <c r="A110" s="12" t="s">
        <v>139</v>
      </c>
      <c r="B110" s="12">
        <f>DATEVALUE(Tabla1[[#This Row],[Columna2]])</f>
        <v>45372</v>
      </c>
      <c r="C110" t="s">
        <v>285</v>
      </c>
      <c r="D110" t="s">
        <v>4</v>
      </c>
      <c r="E110" t="str" cm="1">
        <f t="array" ref="E110">_xlfn.IFS(D110="Eventos particulares","Piloto Junior 1",D110="Federaciones y asociaciones deportivas","Piloto Junior 2",D110="Inspecciones agrícolas","Piloto Senior 1",D110="Inspecciones técnicas","Piloto Senior 2")</f>
        <v>Piloto Senior 2</v>
      </c>
      <c r="F110">
        <v>6.24</v>
      </c>
      <c r="G110" s="1" t="str" cm="1">
        <f t="array" ref="G110">_xlfn.IFS(D110="Eventos particulares","225",D110="Federaciones y asociaciones deportivas","250",D110="Inspecciones agrícolas","275",D110="Inspecciones técnicas","300")</f>
        <v>300</v>
      </c>
      <c r="H110" s="1">
        <f>VALUE(Tabla1[[#This Row],[Columna1]])</f>
        <v>300</v>
      </c>
      <c r="I110" s="1">
        <f t="shared" si="1"/>
        <v>1872</v>
      </c>
    </row>
    <row r="111" spans="1:9" x14ac:dyDescent="0.2">
      <c r="A111" s="12" t="s">
        <v>240</v>
      </c>
      <c r="B111" s="12">
        <f>DATEVALUE(Tabla1[[#This Row],[Columna2]])</f>
        <v>45373</v>
      </c>
      <c r="C111" t="s">
        <v>286</v>
      </c>
      <c r="D111" t="s">
        <v>4</v>
      </c>
      <c r="E111" t="str" cm="1">
        <f t="array" ref="E111">_xlfn.IFS(D111="Eventos particulares","Piloto Junior 1",D111="Federaciones y asociaciones deportivas","Piloto Junior 2",D111="Inspecciones agrícolas","Piloto Senior 1",D111="Inspecciones técnicas","Piloto Senior 2")</f>
        <v>Piloto Senior 2</v>
      </c>
      <c r="F111">
        <v>14.12</v>
      </c>
      <c r="G111" s="1" t="str" cm="1">
        <f t="array" ref="G111">_xlfn.IFS(D111="Eventos particulares","225",D111="Federaciones y asociaciones deportivas","250",D111="Inspecciones agrícolas","275",D111="Inspecciones técnicas","300")</f>
        <v>300</v>
      </c>
      <c r="H111" s="1">
        <f>VALUE(Tabla1[[#This Row],[Columna1]])</f>
        <v>300</v>
      </c>
      <c r="I111" s="1">
        <f t="shared" si="1"/>
        <v>4236</v>
      </c>
    </row>
    <row r="112" spans="1:9" x14ac:dyDescent="0.2">
      <c r="A112" s="12" t="s">
        <v>240</v>
      </c>
      <c r="B112" s="12">
        <f>DATEVALUE(Tabla1[[#This Row],[Columna2]])</f>
        <v>45373</v>
      </c>
      <c r="C112" t="s">
        <v>286</v>
      </c>
      <c r="D112" t="s">
        <v>17</v>
      </c>
      <c r="E112" t="str" cm="1">
        <f t="array" ref="E112">_xlfn.IFS(D112="Eventos particulares","Piloto Junior 1",D112="Federaciones y asociaciones deportivas","Piloto Junior 2",D112="Inspecciones agrícolas","Piloto Senior 1",D112="Inspecciones técnicas","Piloto Senior 2")</f>
        <v>Piloto Senior 1</v>
      </c>
      <c r="F112">
        <v>4.17</v>
      </c>
      <c r="G112" s="1" t="str" cm="1">
        <f t="array" ref="G112">_xlfn.IFS(D112="Eventos particulares","225",D112="Federaciones y asociaciones deportivas","250",D112="Inspecciones agrícolas","275",D112="Inspecciones técnicas","300")</f>
        <v>275</v>
      </c>
      <c r="H112" s="1">
        <f>VALUE(Tabla1[[#This Row],[Columna1]])</f>
        <v>275</v>
      </c>
      <c r="I112" s="1">
        <f t="shared" si="1"/>
        <v>1146.75</v>
      </c>
    </row>
    <row r="113" spans="1:9" x14ac:dyDescent="0.2">
      <c r="A113" s="12" t="s">
        <v>240</v>
      </c>
      <c r="B113" s="12">
        <f>DATEVALUE(Tabla1[[#This Row],[Columna2]])</f>
        <v>45373</v>
      </c>
      <c r="C113" t="s">
        <v>286</v>
      </c>
      <c r="D113" t="s">
        <v>4</v>
      </c>
      <c r="E113" t="str" cm="1">
        <f t="array" ref="E113">_xlfn.IFS(D113="Eventos particulares","Piloto Junior 1",D113="Federaciones y asociaciones deportivas","Piloto Junior 2",D113="Inspecciones agrícolas","Piloto Senior 1",D113="Inspecciones técnicas","Piloto Senior 2")</f>
        <v>Piloto Senior 2</v>
      </c>
      <c r="F113">
        <v>11.37</v>
      </c>
      <c r="G113" s="1" t="str" cm="1">
        <f t="array" ref="G113">_xlfn.IFS(D113="Eventos particulares","225",D113="Federaciones y asociaciones deportivas","250",D113="Inspecciones agrícolas","275",D113="Inspecciones técnicas","300")</f>
        <v>300</v>
      </c>
      <c r="H113" s="1">
        <f>VALUE(Tabla1[[#This Row],[Columna1]])</f>
        <v>300</v>
      </c>
      <c r="I113" s="1">
        <f t="shared" si="1"/>
        <v>3410.9999999999995</v>
      </c>
    </row>
    <row r="114" spans="1:9" x14ac:dyDescent="0.2">
      <c r="A114" s="12" t="s">
        <v>166</v>
      </c>
      <c r="B114" s="12">
        <f>DATEVALUE(Tabla1[[#This Row],[Columna2]])</f>
        <v>45374</v>
      </c>
      <c r="C114" t="s">
        <v>285</v>
      </c>
      <c r="D114" t="s">
        <v>17</v>
      </c>
      <c r="E114" t="str" cm="1">
        <f t="array" ref="E114">_xlfn.IFS(D114="Eventos particulares","Piloto Junior 1",D114="Federaciones y asociaciones deportivas","Piloto Junior 2",D114="Inspecciones agrícolas","Piloto Senior 1",D114="Inspecciones técnicas","Piloto Senior 2")</f>
        <v>Piloto Senior 1</v>
      </c>
      <c r="F114">
        <v>11.44</v>
      </c>
      <c r="G114" s="1" t="str" cm="1">
        <f t="array" ref="G114">_xlfn.IFS(D114="Eventos particulares","225",D114="Federaciones y asociaciones deportivas","250",D114="Inspecciones agrícolas","275",D114="Inspecciones técnicas","300")</f>
        <v>275</v>
      </c>
      <c r="H114" s="1">
        <f>VALUE(Tabla1[[#This Row],[Columna1]])</f>
        <v>275</v>
      </c>
      <c r="I114" s="1">
        <f t="shared" si="1"/>
        <v>3146</v>
      </c>
    </row>
    <row r="115" spans="1:9" x14ac:dyDescent="0.2">
      <c r="A115" s="12" t="s">
        <v>166</v>
      </c>
      <c r="B115" s="12">
        <f>DATEVALUE(Tabla1[[#This Row],[Columna2]])</f>
        <v>45374</v>
      </c>
      <c r="C115" t="s">
        <v>285</v>
      </c>
      <c r="D115" t="s">
        <v>4</v>
      </c>
      <c r="E115" t="str" cm="1">
        <f t="array" ref="E115">_xlfn.IFS(D115="Eventos particulares","Piloto Junior 1",D115="Federaciones y asociaciones deportivas","Piloto Junior 2",D115="Inspecciones agrícolas","Piloto Senior 1",D115="Inspecciones técnicas","Piloto Senior 2")</f>
        <v>Piloto Senior 2</v>
      </c>
      <c r="F115">
        <v>12.77</v>
      </c>
      <c r="G115" s="1" t="str" cm="1">
        <f t="array" ref="G115">_xlfn.IFS(D115="Eventos particulares","225",D115="Federaciones y asociaciones deportivas","250",D115="Inspecciones agrícolas","275",D115="Inspecciones técnicas","300")</f>
        <v>300</v>
      </c>
      <c r="H115" s="1">
        <f>VALUE(Tabla1[[#This Row],[Columna1]])</f>
        <v>300</v>
      </c>
      <c r="I115" s="1">
        <f t="shared" si="1"/>
        <v>3831</v>
      </c>
    </row>
    <row r="116" spans="1:9" x14ac:dyDescent="0.2">
      <c r="A116" s="12" t="s">
        <v>166</v>
      </c>
      <c r="B116" s="12">
        <f>DATEVALUE(Tabla1[[#This Row],[Columna2]])</f>
        <v>45374</v>
      </c>
      <c r="C116" t="s">
        <v>285</v>
      </c>
      <c r="D116" t="s">
        <v>6</v>
      </c>
      <c r="E116" t="str" cm="1">
        <f t="array" ref="E116">_xlfn.IFS(D116="Eventos particulares","Piloto Junior 1",D116="Federaciones y asociaciones deportivas","Piloto Junior 2",D116="Inspecciones agrícolas","Piloto Senior 1",D116="Inspecciones técnicas","Piloto Senior 2")</f>
        <v>Piloto Junior 2</v>
      </c>
      <c r="F116">
        <v>8.41</v>
      </c>
      <c r="G116" s="1" t="str" cm="1">
        <f t="array" ref="G116">_xlfn.IFS(D116="Eventos particulares","225",D116="Federaciones y asociaciones deportivas","250",D116="Inspecciones agrícolas","275",D116="Inspecciones técnicas","300")</f>
        <v>250</v>
      </c>
      <c r="H116" s="1">
        <f>VALUE(Tabla1[[#This Row],[Columna1]])</f>
        <v>250</v>
      </c>
      <c r="I116" s="1">
        <f t="shared" si="1"/>
        <v>2102.5</v>
      </c>
    </row>
    <row r="117" spans="1:9" x14ac:dyDescent="0.2">
      <c r="A117" s="12" t="s">
        <v>173</v>
      </c>
      <c r="B117" s="12">
        <f>DATEVALUE(Tabla1[[#This Row],[Columna2]])</f>
        <v>45375</v>
      </c>
      <c r="C117" t="s">
        <v>285</v>
      </c>
      <c r="D117" t="s">
        <v>4</v>
      </c>
      <c r="E117" t="str" cm="1">
        <f t="array" ref="E117">_xlfn.IFS(D117="Eventos particulares","Piloto Junior 1",D117="Federaciones y asociaciones deportivas","Piloto Junior 2",D117="Inspecciones agrícolas","Piloto Senior 1",D117="Inspecciones técnicas","Piloto Senior 2")</f>
        <v>Piloto Senior 2</v>
      </c>
      <c r="F117">
        <v>11.74</v>
      </c>
      <c r="G117" s="1" t="str" cm="1">
        <f t="array" ref="G117">_xlfn.IFS(D117="Eventos particulares","225",D117="Federaciones y asociaciones deportivas","250",D117="Inspecciones agrícolas","275",D117="Inspecciones técnicas","300")</f>
        <v>300</v>
      </c>
      <c r="H117" s="1">
        <f>VALUE(Tabla1[[#This Row],[Columna1]])</f>
        <v>300</v>
      </c>
      <c r="I117" s="1">
        <f t="shared" si="1"/>
        <v>3522</v>
      </c>
    </row>
    <row r="118" spans="1:9" x14ac:dyDescent="0.2">
      <c r="A118" s="12" t="s">
        <v>194</v>
      </c>
      <c r="B118" s="12">
        <f>DATEVALUE(Tabla1[[#This Row],[Columna2]])</f>
        <v>45378</v>
      </c>
      <c r="C118" t="s">
        <v>285</v>
      </c>
      <c r="D118" t="s">
        <v>12</v>
      </c>
      <c r="E118" t="str" cm="1">
        <f t="array" ref="E118">_xlfn.IFS(D118="Eventos particulares","Piloto Junior 1",D118="Federaciones y asociaciones deportivas","Piloto Junior 2",D118="Inspecciones agrícolas","Piloto Senior 1",D118="Inspecciones técnicas","Piloto Senior 2")</f>
        <v>Piloto Junior 1</v>
      </c>
      <c r="F118">
        <v>10.18</v>
      </c>
      <c r="G118" s="1" t="str" cm="1">
        <f t="array" ref="G118">_xlfn.IFS(D118="Eventos particulares","225",D118="Federaciones y asociaciones deportivas","250",D118="Inspecciones agrícolas","275",D118="Inspecciones técnicas","300")</f>
        <v>225</v>
      </c>
      <c r="H118" s="1">
        <f>VALUE(Tabla1[[#This Row],[Columna1]])</f>
        <v>225</v>
      </c>
      <c r="I118" s="1">
        <f t="shared" si="1"/>
        <v>2290.5</v>
      </c>
    </row>
    <row r="119" spans="1:9" x14ac:dyDescent="0.2">
      <c r="A119" s="12" t="s">
        <v>64</v>
      </c>
      <c r="B119" s="12">
        <f>DATEVALUE(Tabla1[[#This Row],[Columna2]])</f>
        <v>45379</v>
      </c>
      <c r="C119" t="s">
        <v>284</v>
      </c>
      <c r="D119" t="s">
        <v>17</v>
      </c>
      <c r="E119" t="str" cm="1">
        <f t="array" ref="E119">_xlfn.IFS(D119="Eventos particulares","Piloto Junior 1",D119="Federaciones y asociaciones deportivas","Piloto Junior 2",D119="Inspecciones agrícolas","Piloto Senior 1",D119="Inspecciones técnicas","Piloto Senior 2")</f>
        <v>Piloto Senior 1</v>
      </c>
      <c r="F119">
        <v>4.8600000000000003</v>
      </c>
      <c r="G119" s="1" t="str" cm="1">
        <f t="array" ref="G119">_xlfn.IFS(D119="Eventos particulares","225",D119="Federaciones y asociaciones deportivas","250",D119="Inspecciones agrícolas","275",D119="Inspecciones técnicas","300")</f>
        <v>275</v>
      </c>
      <c r="H119" s="1">
        <f>VALUE(Tabla1[[#This Row],[Columna1]])</f>
        <v>275</v>
      </c>
      <c r="I119" s="1">
        <f t="shared" si="1"/>
        <v>1336.5</v>
      </c>
    </row>
    <row r="120" spans="1:9" x14ac:dyDescent="0.2">
      <c r="A120" s="12" t="s">
        <v>64</v>
      </c>
      <c r="B120" s="12">
        <f>DATEVALUE(Tabla1[[#This Row],[Columna2]])</f>
        <v>45379</v>
      </c>
      <c r="C120" t="s">
        <v>284</v>
      </c>
      <c r="D120" t="s">
        <v>12</v>
      </c>
      <c r="E120" t="str" cm="1">
        <f t="array" ref="E120">_xlfn.IFS(D120="Eventos particulares","Piloto Junior 1",D120="Federaciones y asociaciones deportivas","Piloto Junior 2",D120="Inspecciones agrícolas","Piloto Senior 1",D120="Inspecciones técnicas","Piloto Senior 2")</f>
        <v>Piloto Junior 1</v>
      </c>
      <c r="F120">
        <v>9.7200000000000006</v>
      </c>
      <c r="G120" s="1" t="str" cm="1">
        <f t="array" ref="G120">_xlfn.IFS(D120="Eventos particulares","225",D120="Federaciones y asociaciones deportivas","250",D120="Inspecciones agrícolas","275",D120="Inspecciones técnicas","300")</f>
        <v>225</v>
      </c>
      <c r="H120" s="1">
        <f>VALUE(Tabla1[[#This Row],[Columna1]])</f>
        <v>225</v>
      </c>
      <c r="I120" s="1">
        <f t="shared" si="1"/>
        <v>2187</v>
      </c>
    </row>
    <row r="121" spans="1:9" x14ac:dyDescent="0.2">
      <c r="A121" s="12" t="s">
        <v>193</v>
      </c>
      <c r="B121" s="12">
        <f>DATEVALUE(Tabla1[[#This Row],[Columna2]])</f>
        <v>45380</v>
      </c>
      <c r="C121" t="s">
        <v>285</v>
      </c>
      <c r="D121" t="s">
        <v>17</v>
      </c>
      <c r="E121" t="str" cm="1">
        <f t="array" ref="E121">_xlfn.IFS(D121="Eventos particulares","Piloto Junior 1",D121="Federaciones y asociaciones deportivas","Piloto Junior 2",D121="Inspecciones agrícolas","Piloto Senior 1",D121="Inspecciones técnicas","Piloto Senior 2")</f>
        <v>Piloto Senior 1</v>
      </c>
      <c r="F121">
        <v>6.36</v>
      </c>
      <c r="G121" s="1" t="str" cm="1">
        <f t="array" ref="G121">_xlfn.IFS(D121="Eventos particulares","225",D121="Federaciones y asociaciones deportivas","250",D121="Inspecciones agrícolas","275",D121="Inspecciones técnicas","300")</f>
        <v>275</v>
      </c>
      <c r="H121" s="1">
        <f>VALUE(Tabla1[[#This Row],[Columna1]])</f>
        <v>275</v>
      </c>
      <c r="I121" s="1">
        <f t="shared" si="1"/>
        <v>1749</v>
      </c>
    </row>
    <row r="122" spans="1:9" x14ac:dyDescent="0.2">
      <c r="A122" s="12" t="s">
        <v>257</v>
      </c>
      <c r="B122" s="12">
        <f>DATEVALUE(Tabla1[[#This Row],[Columna2]])</f>
        <v>45381</v>
      </c>
      <c r="C122" t="s">
        <v>286</v>
      </c>
      <c r="D122" t="s">
        <v>17</v>
      </c>
      <c r="E122" t="str" cm="1">
        <f t="array" ref="E122">_xlfn.IFS(D122="Eventos particulares","Piloto Junior 1",D122="Federaciones y asociaciones deportivas","Piloto Junior 2",D122="Inspecciones agrícolas","Piloto Senior 1",D122="Inspecciones técnicas","Piloto Senior 2")</f>
        <v>Piloto Senior 1</v>
      </c>
      <c r="F122">
        <v>8.82</v>
      </c>
      <c r="G122" s="1" t="str" cm="1">
        <f t="array" ref="G122">_xlfn.IFS(D122="Eventos particulares","225",D122="Federaciones y asociaciones deportivas","250",D122="Inspecciones agrícolas","275",D122="Inspecciones técnicas","300")</f>
        <v>275</v>
      </c>
      <c r="H122" s="1">
        <f>VALUE(Tabla1[[#This Row],[Columna1]])</f>
        <v>275</v>
      </c>
      <c r="I122" s="1">
        <f t="shared" si="1"/>
        <v>2425.5</v>
      </c>
    </row>
    <row r="123" spans="1:9" x14ac:dyDescent="0.2">
      <c r="A123" s="12" t="s">
        <v>246</v>
      </c>
      <c r="B123" s="12">
        <f>DATEVALUE(Tabla1[[#This Row],[Columna2]])</f>
        <v>45382</v>
      </c>
      <c r="C123" t="s">
        <v>286</v>
      </c>
      <c r="D123" t="s">
        <v>4</v>
      </c>
      <c r="E123" t="str" cm="1">
        <f t="array" ref="E123">_xlfn.IFS(D123="Eventos particulares","Piloto Junior 1",D123="Federaciones y asociaciones deportivas","Piloto Junior 2",D123="Inspecciones agrícolas","Piloto Senior 1",D123="Inspecciones técnicas","Piloto Senior 2")</f>
        <v>Piloto Senior 2</v>
      </c>
      <c r="F123">
        <v>15.58</v>
      </c>
      <c r="G123" s="1" t="str" cm="1">
        <f t="array" ref="G123">_xlfn.IFS(D123="Eventos particulares","225",D123="Federaciones y asociaciones deportivas","250",D123="Inspecciones agrícolas","275",D123="Inspecciones técnicas","300")</f>
        <v>300</v>
      </c>
      <c r="H123" s="1">
        <f>VALUE(Tabla1[[#This Row],[Columna1]])</f>
        <v>300</v>
      </c>
      <c r="I123" s="1">
        <f t="shared" si="1"/>
        <v>4674</v>
      </c>
    </row>
    <row r="124" spans="1:9" x14ac:dyDescent="0.2">
      <c r="A124" s="12" t="s">
        <v>186</v>
      </c>
      <c r="B124" s="12">
        <f>DATEVALUE(Tabla1[[#This Row],[Columna2]])</f>
        <v>45383</v>
      </c>
      <c r="C124" t="s">
        <v>285</v>
      </c>
      <c r="D124" t="s">
        <v>4</v>
      </c>
      <c r="E124" t="str" cm="1">
        <f t="array" ref="E124">_xlfn.IFS(D124="Eventos particulares","Piloto Junior 1",D124="Federaciones y asociaciones deportivas","Piloto Junior 2",D124="Inspecciones agrícolas","Piloto Senior 1",D124="Inspecciones técnicas","Piloto Senior 2")</f>
        <v>Piloto Senior 2</v>
      </c>
      <c r="F124">
        <v>6.22</v>
      </c>
      <c r="G124" s="1" t="str" cm="1">
        <f t="array" ref="G124">_xlfn.IFS(D124="Eventos particulares","225",D124="Federaciones y asociaciones deportivas","250",D124="Inspecciones agrícolas","275",D124="Inspecciones técnicas","300")</f>
        <v>300</v>
      </c>
      <c r="H124" s="1">
        <f>VALUE(Tabla1[[#This Row],[Columna1]])</f>
        <v>300</v>
      </c>
      <c r="I124" s="1">
        <f t="shared" si="1"/>
        <v>1866</v>
      </c>
    </row>
    <row r="125" spans="1:9" x14ac:dyDescent="0.2">
      <c r="A125" s="12" t="s">
        <v>72</v>
      </c>
      <c r="B125" s="12">
        <f>DATEVALUE(Tabla1[[#This Row],[Columna2]])</f>
        <v>45384</v>
      </c>
      <c r="C125" t="s">
        <v>284</v>
      </c>
      <c r="D125" t="s">
        <v>4</v>
      </c>
      <c r="E125" t="str" cm="1">
        <f t="array" ref="E125">_xlfn.IFS(D125="Eventos particulares","Piloto Junior 1",D125="Federaciones y asociaciones deportivas","Piloto Junior 2",D125="Inspecciones agrícolas","Piloto Senior 1",D125="Inspecciones técnicas","Piloto Senior 2")</f>
        <v>Piloto Senior 2</v>
      </c>
      <c r="F125">
        <v>10.54</v>
      </c>
      <c r="G125" s="1" t="str" cm="1">
        <f t="array" ref="G125">_xlfn.IFS(D125="Eventos particulares","225",D125="Federaciones y asociaciones deportivas","250",D125="Inspecciones agrícolas","275",D125="Inspecciones técnicas","300")</f>
        <v>300</v>
      </c>
      <c r="H125" s="1">
        <f>VALUE(Tabla1[[#This Row],[Columna1]])</f>
        <v>300</v>
      </c>
      <c r="I125" s="1">
        <f t="shared" si="1"/>
        <v>3161.9999999999995</v>
      </c>
    </row>
    <row r="126" spans="1:9" x14ac:dyDescent="0.2">
      <c r="A126" s="12" t="s">
        <v>98</v>
      </c>
      <c r="B126" s="12">
        <f>DATEVALUE(Tabla1[[#This Row],[Columna2]])</f>
        <v>45386</v>
      </c>
      <c r="C126" t="s">
        <v>284</v>
      </c>
      <c r="D126" t="s">
        <v>12</v>
      </c>
      <c r="E126" t="str" cm="1">
        <f t="array" ref="E126">_xlfn.IFS(D126="Eventos particulares","Piloto Junior 1",D126="Federaciones y asociaciones deportivas","Piloto Junior 2",D126="Inspecciones agrícolas","Piloto Senior 1",D126="Inspecciones técnicas","Piloto Senior 2")</f>
        <v>Piloto Junior 1</v>
      </c>
      <c r="F126">
        <v>6.45</v>
      </c>
      <c r="G126" s="1" t="str" cm="1">
        <f t="array" ref="G126">_xlfn.IFS(D126="Eventos particulares","225",D126="Federaciones y asociaciones deportivas","250",D126="Inspecciones agrícolas","275",D126="Inspecciones técnicas","300")</f>
        <v>225</v>
      </c>
      <c r="H126" s="1">
        <f>VALUE(Tabla1[[#This Row],[Columna1]])</f>
        <v>225</v>
      </c>
      <c r="I126" s="1">
        <f t="shared" si="1"/>
        <v>1451.25</v>
      </c>
    </row>
    <row r="127" spans="1:9" x14ac:dyDescent="0.2">
      <c r="A127" s="12" t="s">
        <v>98</v>
      </c>
      <c r="B127" s="12">
        <f>DATEVALUE(Tabla1[[#This Row],[Columna2]])</f>
        <v>45386</v>
      </c>
      <c r="C127" t="s">
        <v>285</v>
      </c>
      <c r="D127" t="s">
        <v>12</v>
      </c>
      <c r="E127" t="str" cm="1">
        <f t="array" ref="E127">_xlfn.IFS(D127="Eventos particulares","Piloto Junior 1",D127="Federaciones y asociaciones deportivas","Piloto Junior 2",D127="Inspecciones agrícolas","Piloto Senior 1",D127="Inspecciones técnicas","Piloto Senior 2")</f>
        <v>Piloto Junior 1</v>
      </c>
      <c r="F127">
        <v>13.04</v>
      </c>
      <c r="G127" s="1" t="str" cm="1">
        <f t="array" ref="G127">_xlfn.IFS(D127="Eventos particulares","225",D127="Federaciones y asociaciones deportivas","250",D127="Inspecciones agrícolas","275",D127="Inspecciones técnicas","300")</f>
        <v>225</v>
      </c>
      <c r="H127" s="1">
        <f>VALUE(Tabla1[[#This Row],[Columna1]])</f>
        <v>225</v>
      </c>
      <c r="I127" s="1">
        <f t="shared" si="1"/>
        <v>2934</v>
      </c>
    </row>
    <row r="128" spans="1:9" x14ac:dyDescent="0.2">
      <c r="A128" s="12" t="s">
        <v>98</v>
      </c>
      <c r="B128" s="12">
        <f>DATEVALUE(Tabla1[[#This Row],[Columna2]])</f>
        <v>45386</v>
      </c>
      <c r="C128" t="s">
        <v>285</v>
      </c>
      <c r="D128" t="s">
        <v>17</v>
      </c>
      <c r="E128" t="str" cm="1">
        <f t="array" ref="E128">_xlfn.IFS(D128="Eventos particulares","Piloto Junior 1",D128="Federaciones y asociaciones deportivas","Piloto Junior 2",D128="Inspecciones agrícolas","Piloto Senior 1",D128="Inspecciones técnicas","Piloto Senior 2")</f>
        <v>Piloto Senior 1</v>
      </c>
      <c r="F128">
        <v>9.36</v>
      </c>
      <c r="G128" s="1" t="str" cm="1">
        <f t="array" ref="G128">_xlfn.IFS(D128="Eventos particulares","225",D128="Federaciones y asociaciones deportivas","250",D128="Inspecciones agrícolas","275",D128="Inspecciones técnicas","300")</f>
        <v>275</v>
      </c>
      <c r="H128" s="1">
        <f>VALUE(Tabla1[[#This Row],[Columna1]])</f>
        <v>275</v>
      </c>
      <c r="I128" s="1">
        <f t="shared" si="1"/>
        <v>2574</v>
      </c>
    </row>
    <row r="129" spans="1:9" x14ac:dyDescent="0.2">
      <c r="A129" s="12" t="s">
        <v>219</v>
      </c>
      <c r="B129" s="12">
        <f>DATEVALUE(Tabla1[[#This Row],[Columna2]])</f>
        <v>45387</v>
      </c>
      <c r="C129" t="s">
        <v>285</v>
      </c>
      <c r="D129" t="s">
        <v>4</v>
      </c>
      <c r="E129" t="str" cm="1">
        <f t="array" ref="E129">_xlfn.IFS(D129="Eventos particulares","Piloto Junior 1",D129="Federaciones y asociaciones deportivas","Piloto Junior 2",D129="Inspecciones agrícolas","Piloto Senior 1",D129="Inspecciones técnicas","Piloto Senior 2")</f>
        <v>Piloto Senior 2</v>
      </c>
      <c r="F129">
        <v>14.19</v>
      </c>
      <c r="G129" s="1" t="str" cm="1">
        <f t="array" ref="G129">_xlfn.IFS(D129="Eventos particulares","225",D129="Federaciones y asociaciones deportivas","250",D129="Inspecciones agrícolas","275",D129="Inspecciones técnicas","300")</f>
        <v>300</v>
      </c>
      <c r="H129" s="1">
        <f>VALUE(Tabla1[[#This Row],[Columna1]])</f>
        <v>300</v>
      </c>
      <c r="I129" s="1">
        <f t="shared" si="1"/>
        <v>4257</v>
      </c>
    </row>
    <row r="130" spans="1:9" x14ac:dyDescent="0.2">
      <c r="A130" s="12" t="s">
        <v>160</v>
      </c>
      <c r="B130" s="12">
        <f>DATEVALUE(Tabla1[[#This Row],[Columna2]])</f>
        <v>45388</v>
      </c>
      <c r="C130" t="s">
        <v>284</v>
      </c>
      <c r="D130" t="s">
        <v>4</v>
      </c>
      <c r="E130" t="str" cm="1">
        <f t="array" ref="E130">_xlfn.IFS(D130="Eventos particulares","Piloto Junior 1",D130="Federaciones y asociaciones deportivas","Piloto Junior 2",D130="Inspecciones agrícolas","Piloto Senior 1",D130="Inspecciones técnicas","Piloto Senior 2")</f>
        <v>Piloto Senior 2</v>
      </c>
      <c r="F130">
        <v>4.34</v>
      </c>
      <c r="G130" s="1" t="str" cm="1">
        <f t="array" ref="G130">_xlfn.IFS(D130="Eventos particulares","225",D130="Federaciones y asociaciones deportivas","250",D130="Inspecciones agrícolas","275",D130="Inspecciones técnicas","300")</f>
        <v>300</v>
      </c>
      <c r="H130" s="1">
        <f>VALUE(Tabla1[[#This Row],[Columna1]])</f>
        <v>300</v>
      </c>
      <c r="I130" s="1">
        <f t="shared" ref="I130:I193" si="2">F130*H130</f>
        <v>1302</v>
      </c>
    </row>
    <row r="131" spans="1:9" x14ac:dyDescent="0.2">
      <c r="A131" s="12" t="s">
        <v>160</v>
      </c>
      <c r="B131" s="12">
        <f>DATEVALUE(Tabla1[[#This Row],[Columna2]])</f>
        <v>45388</v>
      </c>
      <c r="C131" t="s">
        <v>285</v>
      </c>
      <c r="D131" t="s">
        <v>17</v>
      </c>
      <c r="E131" t="str" cm="1">
        <f t="array" ref="E131">_xlfn.IFS(D131="Eventos particulares","Piloto Junior 1",D131="Federaciones y asociaciones deportivas","Piloto Junior 2",D131="Inspecciones agrícolas","Piloto Senior 1",D131="Inspecciones técnicas","Piloto Senior 2")</f>
        <v>Piloto Senior 1</v>
      </c>
      <c r="F131">
        <v>15.11</v>
      </c>
      <c r="G131" s="1" t="str" cm="1">
        <f t="array" ref="G131">_xlfn.IFS(D131="Eventos particulares","225",D131="Federaciones y asociaciones deportivas","250",D131="Inspecciones agrícolas","275",D131="Inspecciones técnicas","300")</f>
        <v>275</v>
      </c>
      <c r="H131" s="1">
        <f>VALUE(Tabla1[[#This Row],[Columna1]])</f>
        <v>275</v>
      </c>
      <c r="I131" s="1">
        <f t="shared" si="2"/>
        <v>4155.25</v>
      </c>
    </row>
    <row r="132" spans="1:9" x14ac:dyDescent="0.2">
      <c r="A132" s="12" t="s">
        <v>80</v>
      </c>
      <c r="B132" s="12">
        <f>DATEVALUE(Tabla1[[#This Row],[Columna2]])</f>
        <v>45390</v>
      </c>
      <c r="C132" t="s">
        <v>284</v>
      </c>
      <c r="D132" t="s">
        <v>4</v>
      </c>
      <c r="E132" t="str" cm="1">
        <f t="array" ref="E132">_xlfn.IFS(D132="Eventos particulares","Piloto Junior 1",D132="Federaciones y asociaciones deportivas","Piloto Junior 2",D132="Inspecciones agrícolas","Piloto Senior 1",D132="Inspecciones técnicas","Piloto Senior 2")</f>
        <v>Piloto Senior 2</v>
      </c>
      <c r="F132">
        <v>8.67</v>
      </c>
      <c r="G132" s="1" t="str" cm="1">
        <f t="array" ref="G132">_xlfn.IFS(D132="Eventos particulares","225",D132="Federaciones y asociaciones deportivas","250",D132="Inspecciones agrícolas","275",D132="Inspecciones técnicas","300")</f>
        <v>300</v>
      </c>
      <c r="H132" s="1">
        <f>VALUE(Tabla1[[#This Row],[Columna1]])</f>
        <v>300</v>
      </c>
      <c r="I132" s="1">
        <f t="shared" si="2"/>
        <v>2601</v>
      </c>
    </row>
    <row r="133" spans="1:9" x14ac:dyDescent="0.2">
      <c r="A133" s="12" t="s">
        <v>80</v>
      </c>
      <c r="B133" s="12">
        <f>DATEVALUE(Tabla1[[#This Row],[Columna2]])</f>
        <v>45390</v>
      </c>
      <c r="C133" t="s">
        <v>285</v>
      </c>
      <c r="D133" t="s">
        <v>4</v>
      </c>
      <c r="E133" t="str" cm="1">
        <f t="array" ref="E133">_xlfn.IFS(D133="Eventos particulares","Piloto Junior 1",D133="Federaciones y asociaciones deportivas","Piloto Junior 2",D133="Inspecciones agrícolas","Piloto Senior 1",D133="Inspecciones técnicas","Piloto Senior 2")</f>
        <v>Piloto Senior 2</v>
      </c>
      <c r="F133">
        <v>4.1100000000000003</v>
      </c>
      <c r="G133" s="1" t="str" cm="1">
        <f t="array" ref="G133">_xlfn.IFS(D133="Eventos particulares","225",D133="Federaciones y asociaciones deportivas","250",D133="Inspecciones agrícolas","275",D133="Inspecciones técnicas","300")</f>
        <v>300</v>
      </c>
      <c r="H133" s="1">
        <f>VALUE(Tabla1[[#This Row],[Columna1]])</f>
        <v>300</v>
      </c>
      <c r="I133" s="1">
        <f t="shared" si="2"/>
        <v>1233</v>
      </c>
    </row>
    <row r="134" spans="1:9" x14ac:dyDescent="0.2">
      <c r="A134" s="12" t="s">
        <v>148</v>
      </c>
      <c r="B134" s="12">
        <f>DATEVALUE(Tabla1[[#This Row],[Columna2]])</f>
        <v>45391</v>
      </c>
      <c r="C134" t="s">
        <v>284</v>
      </c>
      <c r="D134" t="s">
        <v>4</v>
      </c>
      <c r="E134" t="str" cm="1">
        <f t="array" ref="E134">_xlfn.IFS(D134="Eventos particulares","Piloto Junior 1",D134="Federaciones y asociaciones deportivas","Piloto Junior 2",D134="Inspecciones agrícolas","Piloto Senior 1",D134="Inspecciones técnicas","Piloto Senior 2")</f>
        <v>Piloto Senior 2</v>
      </c>
      <c r="F134">
        <v>5.23</v>
      </c>
      <c r="G134" s="1" t="str" cm="1">
        <f t="array" ref="G134">_xlfn.IFS(D134="Eventos particulares","225",D134="Federaciones y asociaciones deportivas","250",D134="Inspecciones agrícolas","275",D134="Inspecciones técnicas","300")</f>
        <v>300</v>
      </c>
      <c r="H134" s="1">
        <f>VALUE(Tabla1[[#This Row],[Columna1]])</f>
        <v>300</v>
      </c>
      <c r="I134" s="1">
        <f t="shared" si="2"/>
        <v>1569.0000000000002</v>
      </c>
    </row>
    <row r="135" spans="1:9" x14ac:dyDescent="0.2">
      <c r="A135" s="12" t="s">
        <v>148</v>
      </c>
      <c r="B135" s="12">
        <f>DATEVALUE(Tabla1[[#This Row],[Columna2]])</f>
        <v>45391</v>
      </c>
      <c r="C135" t="s">
        <v>287</v>
      </c>
      <c r="D135" t="s">
        <v>12</v>
      </c>
      <c r="E135" t="str" cm="1">
        <f t="array" ref="E135">_xlfn.IFS(D135="Eventos particulares","Piloto Junior 1",D135="Federaciones y asociaciones deportivas","Piloto Junior 2",D135="Inspecciones agrícolas","Piloto Senior 1",D135="Inspecciones técnicas","Piloto Senior 2")</f>
        <v>Piloto Junior 1</v>
      </c>
      <c r="F135">
        <v>4.96</v>
      </c>
      <c r="G135" s="1" t="str" cm="1">
        <f t="array" ref="G135">_xlfn.IFS(D135="Eventos particulares","225",D135="Federaciones y asociaciones deportivas","250",D135="Inspecciones agrícolas","275",D135="Inspecciones técnicas","300")</f>
        <v>225</v>
      </c>
      <c r="H135" s="1">
        <f>VALUE(Tabla1[[#This Row],[Columna1]])</f>
        <v>225</v>
      </c>
      <c r="I135" s="1">
        <f t="shared" si="2"/>
        <v>1116</v>
      </c>
    </row>
    <row r="136" spans="1:9" x14ac:dyDescent="0.2">
      <c r="A136" s="12" t="s">
        <v>208</v>
      </c>
      <c r="B136" s="12">
        <f>DATEVALUE(Tabla1[[#This Row],[Columna2]])</f>
        <v>45392</v>
      </c>
      <c r="C136" t="s">
        <v>285</v>
      </c>
      <c r="D136" t="s">
        <v>4</v>
      </c>
      <c r="E136" t="str" cm="1">
        <f t="array" ref="E136">_xlfn.IFS(D136="Eventos particulares","Piloto Junior 1",D136="Federaciones y asociaciones deportivas","Piloto Junior 2",D136="Inspecciones agrícolas","Piloto Senior 1",D136="Inspecciones técnicas","Piloto Senior 2")</f>
        <v>Piloto Senior 2</v>
      </c>
      <c r="F136">
        <v>6.99</v>
      </c>
      <c r="G136" s="1" t="str" cm="1">
        <f t="array" ref="G136">_xlfn.IFS(D136="Eventos particulares","225",D136="Federaciones y asociaciones deportivas","250",D136="Inspecciones agrícolas","275",D136="Inspecciones técnicas","300")</f>
        <v>300</v>
      </c>
      <c r="H136" s="1">
        <f>VALUE(Tabla1[[#This Row],[Columna1]])</f>
        <v>300</v>
      </c>
      <c r="I136" s="1">
        <f t="shared" si="2"/>
        <v>2097</v>
      </c>
    </row>
    <row r="137" spans="1:9" x14ac:dyDescent="0.2">
      <c r="A137" s="12" t="s">
        <v>182</v>
      </c>
      <c r="B137" s="12">
        <f>DATEVALUE(Tabla1[[#This Row],[Columna2]])</f>
        <v>45393</v>
      </c>
      <c r="C137" t="s">
        <v>285</v>
      </c>
      <c r="D137" t="s">
        <v>12</v>
      </c>
      <c r="E137" t="str" cm="1">
        <f t="array" ref="E137">_xlfn.IFS(D137="Eventos particulares","Piloto Junior 1",D137="Federaciones y asociaciones deportivas","Piloto Junior 2",D137="Inspecciones agrícolas","Piloto Senior 1",D137="Inspecciones técnicas","Piloto Senior 2")</f>
        <v>Piloto Junior 1</v>
      </c>
      <c r="F137">
        <v>5.13</v>
      </c>
      <c r="G137" s="1" t="str" cm="1">
        <f t="array" ref="G137">_xlfn.IFS(D137="Eventos particulares","225",D137="Federaciones y asociaciones deportivas","250",D137="Inspecciones agrícolas","275",D137="Inspecciones técnicas","300")</f>
        <v>225</v>
      </c>
      <c r="H137" s="1">
        <f>VALUE(Tabla1[[#This Row],[Columna1]])</f>
        <v>225</v>
      </c>
      <c r="I137" s="1">
        <f t="shared" si="2"/>
        <v>1154.25</v>
      </c>
    </row>
    <row r="138" spans="1:9" x14ac:dyDescent="0.2">
      <c r="A138" s="12" t="s">
        <v>182</v>
      </c>
      <c r="B138" s="12">
        <f>DATEVALUE(Tabla1[[#This Row],[Columna2]])</f>
        <v>45393</v>
      </c>
      <c r="C138" t="s">
        <v>287</v>
      </c>
      <c r="D138" t="s">
        <v>6</v>
      </c>
      <c r="E138" t="str" cm="1">
        <f t="array" ref="E138">_xlfn.IFS(D138="Eventos particulares","Piloto Junior 1",D138="Federaciones y asociaciones deportivas","Piloto Junior 2",D138="Inspecciones agrícolas","Piloto Senior 1",D138="Inspecciones técnicas","Piloto Senior 2")</f>
        <v>Piloto Junior 2</v>
      </c>
      <c r="F138">
        <v>14.01</v>
      </c>
      <c r="G138" s="1" t="str" cm="1">
        <f t="array" ref="G138">_xlfn.IFS(D138="Eventos particulares","225",D138="Federaciones y asociaciones deportivas","250",D138="Inspecciones agrícolas","275",D138="Inspecciones técnicas","300")</f>
        <v>250</v>
      </c>
      <c r="H138" s="1">
        <f>VALUE(Tabla1[[#This Row],[Columna1]])</f>
        <v>250</v>
      </c>
      <c r="I138" s="1">
        <f t="shared" si="2"/>
        <v>3502.5</v>
      </c>
    </row>
    <row r="139" spans="1:9" x14ac:dyDescent="0.2">
      <c r="A139" s="12" t="s">
        <v>135</v>
      </c>
      <c r="B139" s="12">
        <f>DATEVALUE(Tabla1[[#This Row],[Columna2]])</f>
        <v>45394</v>
      </c>
      <c r="C139" t="s">
        <v>284</v>
      </c>
      <c r="D139" t="s">
        <v>4</v>
      </c>
      <c r="E139" t="str" cm="1">
        <f t="array" ref="E139">_xlfn.IFS(D139="Eventos particulares","Piloto Junior 1",D139="Federaciones y asociaciones deportivas","Piloto Junior 2",D139="Inspecciones agrícolas","Piloto Senior 1",D139="Inspecciones técnicas","Piloto Senior 2")</f>
        <v>Piloto Senior 2</v>
      </c>
      <c r="F139">
        <v>12.1</v>
      </c>
      <c r="G139" s="1" t="str" cm="1">
        <f t="array" ref="G139">_xlfn.IFS(D139="Eventos particulares","225",D139="Federaciones y asociaciones deportivas","250",D139="Inspecciones agrícolas","275",D139="Inspecciones técnicas","300")</f>
        <v>300</v>
      </c>
      <c r="H139" s="1">
        <f>VALUE(Tabla1[[#This Row],[Columna1]])</f>
        <v>300</v>
      </c>
      <c r="I139" s="1">
        <f t="shared" si="2"/>
        <v>3630</v>
      </c>
    </row>
    <row r="140" spans="1:9" x14ac:dyDescent="0.2">
      <c r="A140" s="12" t="s">
        <v>42</v>
      </c>
      <c r="B140" s="12">
        <f>DATEVALUE(Tabla1[[#This Row],[Columna2]])</f>
        <v>45395</v>
      </c>
      <c r="C140" t="s">
        <v>284</v>
      </c>
      <c r="D140" t="s">
        <v>12</v>
      </c>
      <c r="E140" t="str" cm="1">
        <f t="array" ref="E140">_xlfn.IFS(D140="Eventos particulares","Piloto Junior 1",D140="Federaciones y asociaciones deportivas","Piloto Junior 2",D140="Inspecciones agrícolas","Piloto Senior 1",D140="Inspecciones técnicas","Piloto Senior 2")</f>
        <v>Piloto Junior 1</v>
      </c>
      <c r="F140">
        <v>15.26</v>
      </c>
      <c r="G140" s="1" t="str" cm="1">
        <f t="array" ref="G140">_xlfn.IFS(D140="Eventos particulares","225",D140="Federaciones y asociaciones deportivas","250",D140="Inspecciones agrícolas","275",D140="Inspecciones técnicas","300")</f>
        <v>225</v>
      </c>
      <c r="H140" s="1">
        <f>VALUE(Tabla1[[#This Row],[Columna1]])</f>
        <v>225</v>
      </c>
      <c r="I140" s="1">
        <f t="shared" si="2"/>
        <v>3433.5</v>
      </c>
    </row>
    <row r="141" spans="1:9" x14ac:dyDescent="0.2">
      <c r="A141" s="12" t="s">
        <v>42</v>
      </c>
      <c r="B141" s="12">
        <f>DATEVALUE(Tabla1[[#This Row],[Columna2]])</f>
        <v>45395</v>
      </c>
      <c r="C141" t="s">
        <v>284</v>
      </c>
      <c r="D141" t="s">
        <v>17</v>
      </c>
      <c r="E141" t="str" cm="1">
        <f t="array" ref="E141">_xlfn.IFS(D141="Eventos particulares","Piloto Junior 1",D141="Federaciones y asociaciones deportivas","Piloto Junior 2",D141="Inspecciones agrícolas","Piloto Senior 1",D141="Inspecciones técnicas","Piloto Senior 2")</f>
        <v>Piloto Senior 1</v>
      </c>
      <c r="F141">
        <v>4.37</v>
      </c>
      <c r="G141" s="1" t="str" cm="1">
        <f t="array" ref="G141">_xlfn.IFS(D141="Eventos particulares","225",D141="Federaciones y asociaciones deportivas","250",D141="Inspecciones agrícolas","275",D141="Inspecciones técnicas","300")</f>
        <v>275</v>
      </c>
      <c r="H141" s="1">
        <f>VALUE(Tabla1[[#This Row],[Columna1]])</f>
        <v>275</v>
      </c>
      <c r="I141" s="1">
        <f t="shared" si="2"/>
        <v>1201.75</v>
      </c>
    </row>
    <row r="142" spans="1:9" x14ac:dyDescent="0.2">
      <c r="A142" s="12" t="s">
        <v>42</v>
      </c>
      <c r="B142" s="12">
        <f>DATEVALUE(Tabla1[[#This Row],[Columna2]])</f>
        <v>45395</v>
      </c>
      <c r="C142" t="s">
        <v>285</v>
      </c>
      <c r="D142" t="s">
        <v>6</v>
      </c>
      <c r="E142" t="str" cm="1">
        <f t="array" ref="E142">_xlfn.IFS(D142="Eventos particulares","Piloto Junior 1",D142="Federaciones y asociaciones deportivas","Piloto Junior 2",D142="Inspecciones agrícolas","Piloto Senior 1",D142="Inspecciones técnicas","Piloto Senior 2")</f>
        <v>Piloto Junior 2</v>
      </c>
      <c r="F142">
        <v>5.12</v>
      </c>
      <c r="G142" s="1" t="str" cm="1">
        <f t="array" ref="G142">_xlfn.IFS(D142="Eventos particulares","225",D142="Federaciones y asociaciones deportivas","250",D142="Inspecciones agrícolas","275",D142="Inspecciones técnicas","300")</f>
        <v>250</v>
      </c>
      <c r="H142" s="1">
        <f>VALUE(Tabla1[[#This Row],[Columna1]])</f>
        <v>250</v>
      </c>
      <c r="I142" s="1">
        <f t="shared" si="2"/>
        <v>1280</v>
      </c>
    </row>
    <row r="143" spans="1:9" x14ac:dyDescent="0.2">
      <c r="A143" s="12" t="s">
        <v>9</v>
      </c>
      <c r="B143" s="12">
        <f>DATEVALUE(Tabla1[[#This Row],[Columna2]])</f>
        <v>45396</v>
      </c>
      <c r="C143" t="s">
        <v>284</v>
      </c>
      <c r="D143" t="s">
        <v>4</v>
      </c>
      <c r="E143" t="str" cm="1">
        <f t="array" ref="E143">_xlfn.IFS(D143="Eventos particulares","Piloto Junior 1",D143="Federaciones y asociaciones deportivas","Piloto Junior 2",D143="Inspecciones agrícolas","Piloto Senior 1",D143="Inspecciones técnicas","Piloto Senior 2")</f>
        <v>Piloto Senior 2</v>
      </c>
      <c r="F143">
        <v>5.74</v>
      </c>
      <c r="G143" s="1" t="str" cm="1">
        <f t="array" ref="G143">_xlfn.IFS(D143="Eventos particulares","225",D143="Federaciones y asociaciones deportivas","250",D143="Inspecciones agrícolas","275",D143="Inspecciones técnicas","300")</f>
        <v>300</v>
      </c>
      <c r="H143" s="1">
        <f>VALUE(Tabla1[[#This Row],[Columna1]])</f>
        <v>300</v>
      </c>
      <c r="I143" s="1">
        <f t="shared" si="2"/>
        <v>1722</v>
      </c>
    </row>
    <row r="144" spans="1:9" x14ac:dyDescent="0.2">
      <c r="A144" s="12" t="s">
        <v>9</v>
      </c>
      <c r="B144" s="12">
        <f>DATEVALUE(Tabla1[[#This Row],[Columna2]])</f>
        <v>45396</v>
      </c>
      <c r="C144" t="s">
        <v>285</v>
      </c>
      <c r="D144" t="s">
        <v>6</v>
      </c>
      <c r="E144" t="str" cm="1">
        <f t="array" ref="E144">_xlfn.IFS(D144="Eventos particulares","Piloto Junior 1",D144="Federaciones y asociaciones deportivas","Piloto Junior 2",D144="Inspecciones agrícolas","Piloto Senior 1",D144="Inspecciones técnicas","Piloto Senior 2")</f>
        <v>Piloto Junior 2</v>
      </c>
      <c r="F144">
        <v>7.53</v>
      </c>
      <c r="G144" s="1" t="str" cm="1">
        <f t="array" ref="G144">_xlfn.IFS(D144="Eventos particulares","225",D144="Federaciones y asociaciones deportivas","250",D144="Inspecciones agrícolas","275",D144="Inspecciones técnicas","300")</f>
        <v>250</v>
      </c>
      <c r="H144" s="1">
        <f>VALUE(Tabla1[[#This Row],[Columna1]])</f>
        <v>250</v>
      </c>
      <c r="I144" s="1">
        <f t="shared" si="2"/>
        <v>1882.5</v>
      </c>
    </row>
    <row r="145" spans="1:9" x14ac:dyDescent="0.2">
      <c r="A145" s="12" t="s">
        <v>276</v>
      </c>
      <c r="B145" s="12">
        <f>DATEVALUE(Tabla1[[#This Row],[Columna2]])</f>
        <v>45397</v>
      </c>
      <c r="C145" t="s">
        <v>287</v>
      </c>
      <c r="D145" t="s">
        <v>17</v>
      </c>
      <c r="E145" t="str" cm="1">
        <f t="array" ref="E145">_xlfn.IFS(D145="Eventos particulares","Piloto Junior 1",D145="Federaciones y asociaciones deportivas","Piloto Junior 2",D145="Inspecciones agrícolas","Piloto Senior 1",D145="Inspecciones técnicas","Piloto Senior 2")</f>
        <v>Piloto Senior 1</v>
      </c>
      <c r="F145">
        <v>15.72</v>
      </c>
      <c r="G145" s="1" t="str" cm="1">
        <f t="array" ref="G145">_xlfn.IFS(D145="Eventos particulares","225",D145="Federaciones y asociaciones deportivas","250",D145="Inspecciones agrícolas","275",D145="Inspecciones técnicas","300")</f>
        <v>275</v>
      </c>
      <c r="H145" s="1">
        <f>VALUE(Tabla1[[#This Row],[Columna1]])</f>
        <v>275</v>
      </c>
      <c r="I145" s="1">
        <f t="shared" si="2"/>
        <v>4323</v>
      </c>
    </row>
    <row r="146" spans="1:9" x14ac:dyDescent="0.2">
      <c r="A146" s="12" t="s">
        <v>276</v>
      </c>
      <c r="B146" s="12">
        <f>DATEVALUE(Tabla1[[#This Row],[Columna2]])</f>
        <v>45397</v>
      </c>
      <c r="C146" t="s">
        <v>287</v>
      </c>
      <c r="D146" t="s">
        <v>12</v>
      </c>
      <c r="E146" t="str" cm="1">
        <f t="array" ref="E146">_xlfn.IFS(D146="Eventos particulares","Piloto Junior 1",D146="Federaciones y asociaciones deportivas","Piloto Junior 2",D146="Inspecciones agrícolas","Piloto Senior 1",D146="Inspecciones técnicas","Piloto Senior 2")</f>
        <v>Piloto Junior 1</v>
      </c>
      <c r="F146">
        <v>8.0399999999999991</v>
      </c>
      <c r="G146" s="1" t="str" cm="1">
        <f t="array" ref="G146">_xlfn.IFS(D146="Eventos particulares","225",D146="Federaciones y asociaciones deportivas","250",D146="Inspecciones agrícolas","275",D146="Inspecciones técnicas","300")</f>
        <v>225</v>
      </c>
      <c r="H146" s="1">
        <f>VALUE(Tabla1[[#This Row],[Columna1]])</f>
        <v>225</v>
      </c>
      <c r="I146" s="1">
        <f t="shared" si="2"/>
        <v>1808.9999999999998</v>
      </c>
    </row>
    <row r="147" spans="1:9" x14ac:dyDescent="0.2">
      <c r="A147" s="12" t="s">
        <v>227</v>
      </c>
      <c r="B147" s="12">
        <f>DATEVALUE(Tabla1[[#This Row],[Columna2]])</f>
        <v>45398</v>
      </c>
      <c r="C147" t="s">
        <v>286</v>
      </c>
      <c r="D147" t="s">
        <v>12</v>
      </c>
      <c r="E147" t="str" cm="1">
        <f t="array" ref="E147">_xlfn.IFS(D147="Eventos particulares","Piloto Junior 1",D147="Federaciones y asociaciones deportivas","Piloto Junior 2",D147="Inspecciones agrícolas","Piloto Senior 1",D147="Inspecciones técnicas","Piloto Senior 2")</f>
        <v>Piloto Junior 1</v>
      </c>
      <c r="F147">
        <v>14.95</v>
      </c>
      <c r="G147" s="1" t="str" cm="1">
        <f t="array" ref="G147">_xlfn.IFS(D147="Eventos particulares","225",D147="Federaciones y asociaciones deportivas","250",D147="Inspecciones agrícolas","275",D147="Inspecciones técnicas","300")</f>
        <v>225</v>
      </c>
      <c r="H147" s="1">
        <f>VALUE(Tabla1[[#This Row],[Columna1]])</f>
        <v>225</v>
      </c>
      <c r="I147" s="1">
        <f t="shared" si="2"/>
        <v>3363.75</v>
      </c>
    </row>
    <row r="148" spans="1:9" x14ac:dyDescent="0.2">
      <c r="A148" s="12" t="s">
        <v>227</v>
      </c>
      <c r="B148" s="12">
        <f>DATEVALUE(Tabla1[[#This Row],[Columna2]])</f>
        <v>45398</v>
      </c>
      <c r="C148" t="s">
        <v>286</v>
      </c>
      <c r="D148" t="s">
        <v>17</v>
      </c>
      <c r="E148" t="str" cm="1">
        <f t="array" ref="E148">_xlfn.IFS(D148="Eventos particulares","Piloto Junior 1",D148="Federaciones y asociaciones deportivas","Piloto Junior 2",D148="Inspecciones agrícolas","Piloto Senior 1",D148="Inspecciones técnicas","Piloto Senior 2")</f>
        <v>Piloto Senior 1</v>
      </c>
      <c r="F148">
        <v>8.7200000000000006</v>
      </c>
      <c r="G148" s="1" t="str" cm="1">
        <f t="array" ref="G148">_xlfn.IFS(D148="Eventos particulares","225",D148="Federaciones y asociaciones deportivas","250",D148="Inspecciones agrícolas","275",D148="Inspecciones técnicas","300")</f>
        <v>275</v>
      </c>
      <c r="H148" s="1">
        <f>VALUE(Tabla1[[#This Row],[Columna1]])</f>
        <v>275</v>
      </c>
      <c r="I148" s="1">
        <f t="shared" si="2"/>
        <v>2398</v>
      </c>
    </row>
    <row r="149" spans="1:9" x14ac:dyDescent="0.2">
      <c r="A149" s="12" t="s">
        <v>47</v>
      </c>
      <c r="B149" s="12">
        <f>DATEVALUE(Tabla1[[#This Row],[Columna2]])</f>
        <v>45399</v>
      </c>
      <c r="C149" t="s">
        <v>284</v>
      </c>
      <c r="D149" t="s">
        <v>4</v>
      </c>
      <c r="E149" t="str" cm="1">
        <f t="array" ref="E149">_xlfn.IFS(D149="Eventos particulares","Piloto Junior 1",D149="Federaciones y asociaciones deportivas","Piloto Junior 2",D149="Inspecciones agrícolas","Piloto Senior 1",D149="Inspecciones técnicas","Piloto Senior 2")</f>
        <v>Piloto Senior 2</v>
      </c>
      <c r="F149">
        <v>15.78</v>
      </c>
      <c r="G149" s="1" t="str" cm="1">
        <f t="array" ref="G149">_xlfn.IFS(D149="Eventos particulares","225",D149="Federaciones y asociaciones deportivas","250",D149="Inspecciones agrícolas","275",D149="Inspecciones técnicas","300")</f>
        <v>300</v>
      </c>
      <c r="H149" s="1">
        <f>VALUE(Tabla1[[#This Row],[Columna1]])</f>
        <v>300</v>
      </c>
      <c r="I149" s="1">
        <f t="shared" si="2"/>
        <v>4734</v>
      </c>
    </row>
    <row r="150" spans="1:9" x14ac:dyDescent="0.2">
      <c r="A150" s="12" t="s">
        <v>47</v>
      </c>
      <c r="B150" s="12">
        <f>DATEVALUE(Tabla1[[#This Row],[Columna2]])</f>
        <v>45399</v>
      </c>
      <c r="C150" t="s">
        <v>286</v>
      </c>
      <c r="D150" t="s">
        <v>12</v>
      </c>
      <c r="E150" t="str" cm="1">
        <f t="array" ref="E150">_xlfn.IFS(D150="Eventos particulares","Piloto Junior 1",D150="Federaciones y asociaciones deportivas","Piloto Junior 2",D150="Inspecciones agrícolas","Piloto Senior 1",D150="Inspecciones técnicas","Piloto Senior 2")</f>
        <v>Piloto Junior 1</v>
      </c>
      <c r="F150">
        <v>9.8800000000000008</v>
      </c>
      <c r="G150" s="1" t="str" cm="1">
        <f t="array" ref="G150">_xlfn.IFS(D150="Eventos particulares","225",D150="Federaciones y asociaciones deportivas","250",D150="Inspecciones agrícolas","275",D150="Inspecciones técnicas","300")</f>
        <v>225</v>
      </c>
      <c r="H150" s="1">
        <f>VALUE(Tabla1[[#This Row],[Columna1]])</f>
        <v>225</v>
      </c>
      <c r="I150" s="1">
        <f t="shared" si="2"/>
        <v>2223</v>
      </c>
    </row>
    <row r="151" spans="1:9" x14ac:dyDescent="0.2">
      <c r="A151" s="12" t="s">
        <v>74</v>
      </c>
      <c r="B151" s="12">
        <f>DATEVALUE(Tabla1[[#This Row],[Columna2]])</f>
        <v>45400</v>
      </c>
      <c r="C151" t="s">
        <v>284</v>
      </c>
      <c r="D151" t="s">
        <v>17</v>
      </c>
      <c r="E151" t="str" cm="1">
        <f t="array" ref="E151">_xlfn.IFS(D151="Eventos particulares","Piloto Junior 1",D151="Federaciones y asociaciones deportivas","Piloto Junior 2",D151="Inspecciones agrícolas","Piloto Senior 1",D151="Inspecciones técnicas","Piloto Senior 2")</f>
        <v>Piloto Senior 1</v>
      </c>
      <c r="F151">
        <v>10.199999999999999</v>
      </c>
      <c r="G151" s="1" t="str" cm="1">
        <f t="array" ref="G151">_xlfn.IFS(D151="Eventos particulares","225",D151="Federaciones y asociaciones deportivas","250",D151="Inspecciones agrícolas","275",D151="Inspecciones técnicas","300")</f>
        <v>275</v>
      </c>
      <c r="H151" s="1">
        <f>VALUE(Tabla1[[#This Row],[Columna1]])</f>
        <v>275</v>
      </c>
      <c r="I151" s="1">
        <f t="shared" si="2"/>
        <v>2805</v>
      </c>
    </row>
    <row r="152" spans="1:9" x14ac:dyDescent="0.2">
      <c r="A152" s="12" t="s">
        <v>74</v>
      </c>
      <c r="B152" s="12">
        <f>DATEVALUE(Tabla1[[#This Row],[Columna2]])</f>
        <v>45400</v>
      </c>
      <c r="C152" t="s">
        <v>287</v>
      </c>
      <c r="D152" t="s">
        <v>4</v>
      </c>
      <c r="E152" t="str" cm="1">
        <f t="array" ref="E152">_xlfn.IFS(D152="Eventos particulares","Piloto Junior 1",D152="Federaciones y asociaciones deportivas","Piloto Junior 2",D152="Inspecciones agrícolas","Piloto Senior 1",D152="Inspecciones técnicas","Piloto Senior 2")</f>
        <v>Piloto Senior 2</v>
      </c>
      <c r="F152">
        <v>11.23</v>
      </c>
      <c r="G152" s="1" t="str" cm="1">
        <f t="array" ref="G152">_xlfn.IFS(D152="Eventos particulares","225",D152="Federaciones y asociaciones deportivas","250",D152="Inspecciones agrícolas","275",D152="Inspecciones técnicas","300")</f>
        <v>300</v>
      </c>
      <c r="H152" s="1">
        <f>VALUE(Tabla1[[#This Row],[Columna1]])</f>
        <v>300</v>
      </c>
      <c r="I152" s="1">
        <f t="shared" si="2"/>
        <v>3369</v>
      </c>
    </row>
    <row r="153" spans="1:9" x14ac:dyDescent="0.2">
      <c r="A153" s="12" t="s">
        <v>205</v>
      </c>
      <c r="B153" s="12">
        <f>DATEVALUE(Tabla1[[#This Row],[Columna2]])</f>
        <v>45402</v>
      </c>
      <c r="C153" t="s">
        <v>285</v>
      </c>
      <c r="D153" t="s">
        <v>4</v>
      </c>
      <c r="E153" t="str" cm="1">
        <f t="array" ref="E153">_xlfn.IFS(D153="Eventos particulares","Piloto Junior 1",D153="Federaciones y asociaciones deportivas","Piloto Junior 2",D153="Inspecciones agrícolas","Piloto Senior 1",D153="Inspecciones técnicas","Piloto Senior 2")</f>
        <v>Piloto Senior 2</v>
      </c>
      <c r="F153">
        <v>10.3</v>
      </c>
      <c r="G153" s="1" t="str" cm="1">
        <f t="array" ref="G153">_xlfn.IFS(D153="Eventos particulares","225",D153="Federaciones y asociaciones deportivas","250",D153="Inspecciones agrícolas","275",D153="Inspecciones técnicas","300")</f>
        <v>300</v>
      </c>
      <c r="H153" s="1">
        <f>VALUE(Tabla1[[#This Row],[Columna1]])</f>
        <v>300</v>
      </c>
      <c r="I153" s="1">
        <f t="shared" si="2"/>
        <v>3090</v>
      </c>
    </row>
    <row r="154" spans="1:9" x14ac:dyDescent="0.2">
      <c r="A154" s="12" t="s">
        <v>149</v>
      </c>
      <c r="B154" s="12">
        <f>DATEVALUE(Tabla1[[#This Row],[Columna2]])</f>
        <v>45403</v>
      </c>
      <c r="C154" t="s">
        <v>284</v>
      </c>
      <c r="D154" t="s">
        <v>4</v>
      </c>
      <c r="E154" t="str" cm="1">
        <f t="array" ref="E154">_xlfn.IFS(D154="Eventos particulares","Piloto Junior 1",D154="Federaciones y asociaciones deportivas","Piloto Junior 2",D154="Inspecciones agrícolas","Piloto Senior 1",D154="Inspecciones técnicas","Piloto Senior 2")</f>
        <v>Piloto Senior 2</v>
      </c>
      <c r="F154">
        <v>11.01</v>
      </c>
      <c r="G154" s="1" t="str" cm="1">
        <f t="array" ref="G154">_xlfn.IFS(D154="Eventos particulares","225",D154="Federaciones y asociaciones deportivas","250",D154="Inspecciones agrícolas","275",D154="Inspecciones técnicas","300")</f>
        <v>300</v>
      </c>
      <c r="H154" s="1">
        <f>VALUE(Tabla1[[#This Row],[Columna1]])</f>
        <v>300</v>
      </c>
      <c r="I154" s="1">
        <f t="shared" si="2"/>
        <v>3303</v>
      </c>
    </row>
    <row r="155" spans="1:9" x14ac:dyDescent="0.2">
      <c r="A155" s="12" t="s">
        <v>149</v>
      </c>
      <c r="B155" s="12">
        <f>DATEVALUE(Tabla1[[#This Row],[Columna2]])</f>
        <v>45403</v>
      </c>
      <c r="C155" t="s">
        <v>285</v>
      </c>
      <c r="D155" t="s">
        <v>6</v>
      </c>
      <c r="E155" t="str" cm="1">
        <f t="array" ref="E155">_xlfn.IFS(D155="Eventos particulares","Piloto Junior 1",D155="Federaciones y asociaciones deportivas","Piloto Junior 2",D155="Inspecciones agrícolas","Piloto Senior 1",D155="Inspecciones técnicas","Piloto Senior 2")</f>
        <v>Piloto Junior 2</v>
      </c>
      <c r="F155">
        <v>14.82</v>
      </c>
      <c r="G155" s="1" t="str" cm="1">
        <f t="array" ref="G155">_xlfn.IFS(D155="Eventos particulares","225",D155="Federaciones y asociaciones deportivas","250",D155="Inspecciones agrícolas","275",D155="Inspecciones técnicas","300")</f>
        <v>250</v>
      </c>
      <c r="H155" s="1">
        <f>VALUE(Tabla1[[#This Row],[Columna1]])</f>
        <v>250</v>
      </c>
      <c r="I155" s="1">
        <f t="shared" si="2"/>
        <v>3705</v>
      </c>
    </row>
    <row r="156" spans="1:9" x14ac:dyDescent="0.2">
      <c r="A156" s="12" t="s">
        <v>149</v>
      </c>
      <c r="B156" s="12">
        <f>DATEVALUE(Tabla1[[#This Row],[Columna2]])</f>
        <v>45403</v>
      </c>
      <c r="C156" t="s">
        <v>285</v>
      </c>
      <c r="D156" t="s">
        <v>4</v>
      </c>
      <c r="E156" t="str" cm="1">
        <f t="array" ref="E156">_xlfn.IFS(D156="Eventos particulares","Piloto Junior 1",D156="Federaciones y asociaciones deportivas","Piloto Junior 2",D156="Inspecciones agrícolas","Piloto Senior 1",D156="Inspecciones técnicas","Piloto Senior 2")</f>
        <v>Piloto Senior 2</v>
      </c>
      <c r="F156">
        <v>4.99</v>
      </c>
      <c r="G156" s="1" t="str" cm="1">
        <f t="array" ref="G156">_xlfn.IFS(D156="Eventos particulares","225",D156="Federaciones y asociaciones deportivas","250",D156="Inspecciones agrícolas","275",D156="Inspecciones técnicas","300")</f>
        <v>300</v>
      </c>
      <c r="H156" s="1">
        <f>VALUE(Tabla1[[#This Row],[Columna1]])</f>
        <v>300</v>
      </c>
      <c r="I156" s="1">
        <f t="shared" si="2"/>
        <v>1497</v>
      </c>
    </row>
    <row r="157" spans="1:9" x14ac:dyDescent="0.2">
      <c r="A157" s="12" t="s">
        <v>272</v>
      </c>
      <c r="B157" s="12">
        <f>DATEVALUE(Tabla1[[#This Row],[Columna2]])</f>
        <v>45404</v>
      </c>
      <c r="C157" t="s">
        <v>287</v>
      </c>
      <c r="D157" t="s">
        <v>12</v>
      </c>
      <c r="E157" t="str" cm="1">
        <f t="array" ref="E157">_xlfn.IFS(D157="Eventos particulares","Piloto Junior 1",D157="Federaciones y asociaciones deportivas","Piloto Junior 2",D157="Inspecciones agrícolas","Piloto Senior 1",D157="Inspecciones técnicas","Piloto Senior 2")</f>
        <v>Piloto Junior 1</v>
      </c>
      <c r="F157">
        <v>15.24</v>
      </c>
      <c r="G157" s="1" t="str" cm="1">
        <f t="array" ref="G157">_xlfn.IFS(D157="Eventos particulares","225",D157="Federaciones y asociaciones deportivas","250",D157="Inspecciones agrícolas","275",D157="Inspecciones técnicas","300")</f>
        <v>225</v>
      </c>
      <c r="H157" s="1">
        <f>VALUE(Tabla1[[#This Row],[Columna1]])</f>
        <v>225</v>
      </c>
      <c r="I157" s="1">
        <f t="shared" si="2"/>
        <v>3429</v>
      </c>
    </row>
    <row r="158" spans="1:9" x14ac:dyDescent="0.2">
      <c r="A158" s="12" t="s">
        <v>22</v>
      </c>
      <c r="B158" s="12">
        <f>DATEVALUE(Tabla1[[#This Row],[Columna2]])</f>
        <v>45405</v>
      </c>
      <c r="C158" t="s">
        <v>284</v>
      </c>
      <c r="D158" t="s">
        <v>17</v>
      </c>
      <c r="E158" t="str" cm="1">
        <f t="array" ref="E158">_xlfn.IFS(D158="Eventos particulares","Piloto Junior 1",D158="Federaciones y asociaciones deportivas","Piloto Junior 2",D158="Inspecciones agrícolas","Piloto Senior 1",D158="Inspecciones técnicas","Piloto Senior 2")</f>
        <v>Piloto Senior 1</v>
      </c>
      <c r="F158">
        <v>14.89</v>
      </c>
      <c r="G158" s="1" t="str" cm="1">
        <f t="array" ref="G158">_xlfn.IFS(D158="Eventos particulares","225",D158="Federaciones y asociaciones deportivas","250",D158="Inspecciones agrícolas","275",D158="Inspecciones técnicas","300")</f>
        <v>275</v>
      </c>
      <c r="H158" s="1">
        <f>VALUE(Tabla1[[#This Row],[Columna1]])</f>
        <v>275</v>
      </c>
      <c r="I158" s="1">
        <f t="shared" si="2"/>
        <v>4094.75</v>
      </c>
    </row>
    <row r="159" spans="1:9" x14ac:dyDescent="0.2">
      <c r="A159" s="12" t="s">
        <v>215</v>
      </c>
      <c r="B159" s="12">
        <f>DATEVALUE(Tabla1[[#This Row],[Columna2]])</f>
        <v>45407</v>
      </c>
      <c r="C159" t="s">
        <v>285</v>
      </c>
      <c r="D159" t="s">
        <v>12</v>
      </c>
      <c r="E159" t="str" cm="1">
        <f t="array" ref="E159">_xlfn.IFS(D159="Eventos particulares","Piloto Junior 1",D159="Federaciones y asociaciones deportivas","Piloto Junior 2",D159="Inspecciones agrícolas","Piloto Senior 1",D159="Inspecciones técnicas","Piloto Senior 2")</f>
        <v>Piloto Junior 1</v>
      </c>
      <c r="F159">
        <v>6.44</v>
      </c>
      <c r="G159" s="1" t="str" cm="1">
        <f t="array" ref="G159">_xlfn.IFS(D159="Eventos particulares","225",D159="Federaciones y asociaciones deportivas","250",D159="Inspecciones agrícolas","275",D159="Inspecciones técnicas","300")</f>
        <v>225</v>
      </c>
      <c r="H159" s="1">
        <f>VALUE(Tabla1[[#This Row],[Columna1]])</f>
        <v>225</v>
      </c>
      <c r="I159" s="1">
        <f t="shared" si="2"/>
        <v>1449</v>
      </c>
    </row>
    <row r="160" spans="1:9" x14ac:dyDescent="0.2">
      <c r="A160" s="12" t="s">
        <v>242</v>
      </c>
      <c r="B160" s="12">
        <f>DATEVALUE(Tabla1[[#This Row],[Columna2]])</f>
        <v>45408</v>
      </c>
      <c r="C160" t="s">
        <v>286</v>
      </c>
      <c r="D160" t="s">
        <v>12</v>
      </c>
      <c r="E160" t="str" cm="1">
        <f t="array" ref="E160">_xlfn.IFS(D160="Eventos particulares","Piloto Junior 1",D160="Federaciones y asociaciones deportivas","Piloto Junior 2",D160="Inspecciones agrícolas","Piloto Senior 1",D160="Inspecciones técnicas","Piloto Senior 2")</f>
        <v>Piloto Junior 1</v>
      </c>
      <c r="F160">
        <v>15.9</v>
      </c>
      <c r="G160" s="1" t="str" cm="1">
        <f t="array" ref="G160">_xlfn.IFS(D160="Eventos particulares","225",D160="Federaciones y asociaciones deportivas","250",D160="Inspecciones agrícolas","275",D160="Inspecciones técnicas","300")</f>
        <v>225</v>
      </c>
      <c r="H160" s="1">
        <f>VALUE(Tabla1[[#This Row],[Columna1]])</f>
        <v>225</v>
      </c>
      <c r="I160" s="1">
        <f t="shared" si="2"/>
        <v>3577.5</v>
      </c>
    </row>
    <row r="161" spans="1:9" x14ac:dyDescent="0.2">
      <c r="A161" s="12" t="s">
        <v>242</v>
      </c>
      <c r="B161" s="12">
        <f>DATEVALUE(Tabla1[[#This Row],[Columna2]])</f>
        <v>45408</v>
      </c>
      <c r="C161" t="s">
        <v>287</v>
      </c>
      <c r="D161" t="s">
        <v>12</v>
      </c>
      <c r="E161" t="str" cm="1">
        <f t="array" ref="E161">_xlfn.IFS(D161="Eventos particulares","Piloto Junior 1",D161="Federaciones y asociaciones deportivas","Piloto Junior 2",D161="Inspecciones agrícolas","Piloto Senior 1",D161="Inspecciones técnicas","Piloto Senior 2")</f>
        <v>Piloto Junior 1</v>
      </c>
      <c r="F161">
        <v>15.46</v>
      </c>
      <c r="G161" s="1" t="str" cm="1">
        <f t="array" ref="G161">_xlfn.IFS(D161="Eventos particulares","225",D161="Federaciones y asociaciones deportivas","250",D161="Inspecciones agrícolas","275",D161="Inspecciones técnicas","300")</f>
        <v>225</v>
      </c>
      <c r="H161" s="1">
        <f>VALUE(Tabla1[[#This Row],[Columna1]])</f>
        <v>225</v>
      </c>
      <c r="I161" s="1">
        <f t="shared" si="2"/>
        <v>3478.5</v>
      </c>
    </row>
    <row r="162" spans="1:9" x14ac:dyDescent="0.2">
      <c r="A162" s="12" t="s">
        <v>242</v>
      </c>
      <c r="B162" s="12">
        <f>DATEVALUE(Tabla1[[#This Row],[Columna2]])</f>
        <v>45408</v>
      </c>
      <c r="C162" t="s">
        <v>287</v>
      </c>
      <c r="D162" t="s">
        <v>6</v>
      </c>
      <c r="E162" t="str" cm="1">
        <f t="array" ref="E162">_xlfn.IFS(D162="Eventos particulares","Piloto Junior 1",D162="Federaciones y asociaciones deportivas","Piloto Junior 2",D162="Inspecciones agrícolas","Piloto Senior 1",D162="Inspecciones técnicas","Piloto Senior 2")</f>
        <v>Piloto Junior 2</v>
      </c>
      <c r="F162">
        <v>13.9</v>
      </c>
      <c r="G162" s="1" t="str" cm="1">
        <f t="array" ref="G162">_xlfn.IFS(D162="Eventos particulares","225",D162="Federaciones y asociaciones deportivas","250",D162="Inspecciones agrícolas","275",D162="Inspecciones técnicas","300")</f>
        <v>250</v>
      </c>
      <c r="H162" s="1">
        <f>VALUE(Tabla1[[#This Row],[Columna1]])</f>
        <v>250</v>
      </c>
      <c r="I162" s="1">
        <f t="shared" si="2"/>
        <v>3475</v>
      </c>
    </row>
    <row r="163" spans="1:9" x14ac:dyDescent="0.2">
      <c r="A163" s="12" t="s">
        <v>91</v>
      </c>
      <c r="B163" s="12">
        <f>DATEVALUE(Tabla1[[#This Row],[Columna2]])</f>
        <v>45410</v>
      </c>
      <c r="C163" t="s">
        <v>284</v>
      </c>
      <c r="D163" t="s">
        <v>4</v>
      </c>
      <c r="E163" t="str" cm="1">
        <f t="array" ref="E163">_xlfn.IFS(D163="Eventos particulares","Piloto Junior 1",D163="Federaciones y asociaciones deportivas","Piloto Junior 2",D163="Inspecciones agrícolas","Piloto Senior 1",D163="Inspecciones técnicas","Piloto Senior 2")</f>
        <v>Piloto Senior 2</v>
      </c>
      <c r="F163">
        <v>15.91</v>
      </c>
      <c r="G163" s="1" t="str" cm="1">
        <f t="array" ref="G163">_xlfn.IFS(D163="Eventos particulares","225",D163="Federaciones y asociaciones deportivas","250",D163="Inspecciones agrícolas","275",D163="Inspecciones técnicas","300")</f>
        <v>300</v>
      </c>
      <c r="H163" s="1">
        <f>VALUE(Tabla1[[#This Row],[Columna1]])</f>
        <v>300</v>
      </c>
      <c r="I163" s="1">
        <f t="shared" si="2"/>
        <v>4773</v>
      </c>
    </row>
    <row r="164" spans="1:9" x14ac:dyDescent="0.2">
      <c r="A164" s="12" t="s">
        <v>32</v>
      </c>
      <c r="B164" s="12">
        <f>DATEVALUE(Tabla1[[#This Row],[Columna2]])</f>
        <v>45411</v>
      </c>
      <c r="C164" t="s">
        <v>284</v>
      </c>
      <c r="D164" t="s">
        <v>12</v>
      </c>
      <c r="E164" t="str" cm="1">
        <f t="array" ref="E164">_xlfn.IFS(D164="Eventos particulares","Piloto Junior 1",D164="Federaciones y asociaciones deportivas","Piloto Junior 2",D164="Inspecciones agrícolas","Piloto Senior 1",D164="Inspecciones técnicas","Piloto Senior 2")</f>
        <v>Piloto Junior 1</v>
      </c>
      <c r="F164">
        <v>12.52</v>
      </c>
      <c r="G164" s="1" t="str" cm="1">
        <f t="array" ref="G164">_xlfn.IFS(D164="Eventos particulares","225",D164="Federaciones y asociaciones deportivas","250",D164="Inspecciones agrícolas","275",D164="Inspecciones técnicas","300")</f>
        <v>225</v>
      </c>
      <c r="H164" s="1">
        <f>VALUE(Tabla1[[#This Row],[Columna1]])</f>
        <v>225</v>
      </c>
      <c r="I164" s="1">
        <f t="shared" si="2"/>
        <v>2817</v>
      </c>
    </row>
    <row r="165" spans="1:9" x14ac:dyDescent="0.2">
      <c r="A165" s="12" t="s">
        <v>32</v>
      </c>
      <c r="B165" s="12">
        <f>DATEVALUE(Tabla1[[#This Row],[Columna2]])</f>
        <v>45411</v>
      </c>
      <c r="C165" t="s">
        <v>284</v>
      </c>
      <c r="D165" t="s">
        <v>4</v>
      </c>
      <c r="E165" t="str" cm="1">
        <f t="array" ref="E165">_xlfn.IFS(D165="Eventos particulares","Piloto Junior 1",D165="Federaciones y asociaciones deportivas","Piloto Junior 2",D165="Inspecciones agrícolas","Piloto Senior 1",D165="Inspecciones técnicas","Piloto Senior 2")</f>
        <v>Piloto Senior 2</v>
      </c>
      <c r="F165">
        <v>8.3699999999999992</v>
      </c>
      <c r="G165" s="1" t="str" cm="1">
        <f t="array" ref="G165">_xlfn.IFS(D165="Eventos particulares","225",D165="Federaciones y asociaciones deportivas","250",D165="Inspecciones agrícolas","275",D165="Inspecciones técnicas","300")</f>
        <v>300</v>
      </c>
      <c r="H165" s="1">
        <f>VALUE(Tabla1[[#This Row],[Columna1]])</f>
        <v>300</v>
      </c>
      <c r="I165" s="1">
        <f t="shared" si="2"/>
        <v>2510.9999999999995</v>
      </c>
    </row>
    <row r="166" spans="1:9" x14ac:dyDescent="0.2">
      <c r="A166" s="12" t="s">
        <v>32</v>
      </c>
      <c r="B166" s="12">
        <f>DATEVALUE(Tabla1[[#This Row],[Columna2]])</f>
        <v>45411</v>
      </c>
      <c r="C166" t="s">
        <v>285</v>
      </c>
      <c r="D166" t="s">
        <v>4</v>
      </c>
      <c r="E166" t="str" cm="1">
        <f t="array" ref="E166">_xlfn.IFS(D166="Eventos particulares","Piloto Junior 1",D166="Federaciones y asociaciones deportivas","Piloto Junior 2",D166="Inspecciones agrícolas","Piloto Senior 1",D166="Inspecciones técnicas","Piloto Senior 2")</f>
        <v>Piloto Senior 2</v>
      </c>
      <c r="F166">
        <v>8.26</v>
      </c>
      <c r="G166" s="1" t="str" cm="1">
        <f t="array" ref="G166">_xlfn.IFS(D166="Eventos particulares","225",D166="Federaciones y asociaciones deportivas","250",D166="Inspecciones agrícolas","275",D166="Inspecciones técnicas","300")</f>
        <v>300</v>
      </c>
      <c r="H166" s="1">
        <f>VALUE(Tabla1[[#This Row],[Columna1]])</f>
        <v>300</v>
      </c>
      <c r="I166" s="1">
        <f t="shared" si="2"/>
        <v>2478</v>
      </c>
    </row>
    <row r="167" spans="1:9" x14ac:dyDescent="0.2">
      <c r="A167" s="12" t="s">
        <v>32</v>
      </c>
      <c r="B167" s="12">
        <f>DATEVALUE(Tabla1[[#This Row],[Columna2]])</f>
        <v>45411</v>
      </c>
      <c r="C167" t="s">
        <v>285</v>
      </c>
      <c r="D167" t="s">
        <v>6</v>
      </c>
      <c r="E167" t="str" cm="1">
        <f t="array" ref="E167">_xlfn.IFS(D167="Eventos particulares","Piloto Junior 1",D167="Federaciones y asociaciones deportivas","Piloto Junior 2",D167="Inspecciones agrícolas","Piloto Senior 1",D167="Inspecciones técnicas","Piloto Senior 2")</f>
        <v>Piloto Junior 2</v>
      </c>
      <c r="F167">
        <v>13.64</v>
      </c>
      <c r="G167" s="1" t="str" cm="1">
        <f t="array" ref="G167">_xlfn.IFS(D167="Eventos particulares","225",D167="Federaciones y asociaciones deportivas","250",D167="Inspecciones agrícolas","275",D167="Inspecciones técnicas","300")</f>
        <v>250</v>
      </c>
      <c r="H167" s="1">
        <f>VALUE(Tabla1[[#This Row],[Columna1]])</f>
        <v>250</v>
      </c>
      <c r="I167" s="1">
        <f t="shared" si="2"/>
        <v>3410</v>
      </c>
    </row>
    <row r="168" spans="1:9" x14ac:dyDescent="0.2">
      <c r="A168" s="12" t="s">
        <v>138</v>
      </c>
      <c r="B168" s="12">
        <f>DATEVALUE(Tabla1[[#This Row],[Columna2]])</f>
        <v>45412</v>
      </c>
      <c r="C168" t="s">
        <v>284</v>
      </c>
      <c r="D168" t="s">
        <v>6</v>
      </c>
      <c r="E168" t="str" cm="1">
        <f t="array" ref="E168">_xlfn.IFS(D168="Eventos particulares","Piloto Junior 1",D168="Federaciones y asociaciones deportivas","Piloto Junior 2",D168="Inspecciones agrícolas","Piloto Senior 1",D168="Inspecciones técnicas","Piloto Senior 2")</f>
        <v>Piloto Junior 2</v>
      </c>
      <c r="F168">
        <v>4.6500000000000004</v>
      </c>
      <c r="G168" s="1" t="str" cm="1">
        <f t="array" ref="G168">_xlfn.IFS(D168="Eventos particulares","225",D168="Federaciones y asociaciones deportivas","250",D168="Inspecciones agrícolas","275",D168="Inspecciones técnicas","300")</f>
        <v>250</v>
      </c>
      <c r="H168" s="1">
        <f>VALUE(Tabla1[[#This Row],[Columna1]])</f>
        <v>250</v>
      </c>
      <c r="I168" s="1">
        <f t="shared" si="2"/>
        <v>1162.5</v>
      </c>
    </row>
    <row r="169" spans="1:9" x14ac:dyDescent="0.2">
      <c r="A169" s="12" t="s">
        <v>138</v>
      </c>
      <c r="B169" s="12">
        <f>DATEVALUE(Tabla1[[#This Row],[Columna2]])</f>
        <v>45412</v>
      </c>
      <c r="C169" t="s">
        <v>285</v>
      </c>
      <c r="D169" t="s">
        <v>4</v>
      </c>
      <c r="E169" t="str" cm="1">
        <f t="array" ref="E169">_xlfn.IFS(D169="Eventos particulares","Piloto Junior 1",D169="Federaciones y asociaciones deportivas","Piloto Junior 2",D169="Inspecciones agrícolas","Piloto Senior 1",D169="Inspecciones técnicas","Piloto Senior 2")</f>
        <v>Piloto Senior 2</v>
      </c>
      <c r="F169">
        <v>14.01</v>
      </c>
      <c r="G169" s="1" t="str" cm="1">
        <f t="array" ref="G169">_xlfn.IFS(D169="Eventos particulares","225",D169="Federaciones y asociaciones deportivas","250",D169="Inspecciones agrícolas","275",D169="Inspecciones técnicas","300")</f>
        <v>300</v>
      </c>
      <c r="H169" s="1">
        <f>VALUE(Tabla1[[#This Row],[Columna1]])</f>
        <v>300</v>
      </c>
      <c r="I169" s="1">
        <f t="shared" si="2"/>
        <v>4203</v>
      </c>
    </row>
    <row r="170" spans="1:9" x14ac:dyDescent="0.2">
      <c r="A170" s="12" t="s">
        <v>138</v>
      </c>
      <c r="B170" s="12">
        <f>DATEVALUE(Tabla1[[#This Row],[Columna2]])</f>
        <v>45412</v>
      </c>
      <c r="C170" t="s">
        <v>286</v>
      </c>
      <c r="D170" t="s">
        <v>4</v>
      </c>
      <c r="E170" t="str" cm="1">
        <f t="array" ref="E170">_xlfn.IFS(D170="Eventos particulares","Piloto Junior 1",D170="Federaciones y asociaciones deportivas","Piloto Junior 2",D170="Inspecciones agrícolas","Piloto Senior 1",D170="Inspecciones técnicas","Piloto Senior 2")</f>
        <v>Piloto Senior 2</v>
      </c>
      <c r="F170">
        <v>10.97</v>
      </c>
      <c r="G170" s="1" t="str" cm="1">
        <f t="array" ref="G170">_xlfn.IFS(D170="Eventos particulares","225",D170="Federaciones y asociaciones deportivas","250",D170="Inspecciones agrícolas","275",D170="Inspecciones técnicas","300")</f>
        <v>300</v>
      </c>
      <c r="H170" s="1">
        <f>VALUE(Tabla1[[#This Row],[Columna1]])</f>
        <v>300</v>
      </c>
      <c r="I170" s="1">
        <f t="shared" si="2"/>
        <v>3291</v>
      </c>
    </row>
    <row r="171" spans="1:9" x14ac:dyDescent="0.2">
      <c r="A171" s="12" t="s">
        <v>138</v>
      </c>
      <c r="B171" s="12">
        <f>DATEVALUE(Tabla1[[#This Row],[Columna2]])</f>
        <v>45412</v>
      </c>
      <c r="C171" t="s">
        <v>286</v>
      </c>
      <c r="D171" t="s">
        <v>17</v>
      </c>
      <c r="E171" t="str" cm="1">
        <f t="array" ref="E171">_xlfn.IFS(D171="Eventos particulares","Piloto Junior 1",D171="Federaciones y asociaciones deportivas","Piloto Junior 2",D171="Inspecciones agrícolas","Piloto Senior 1",D171="Inspecciones técnicas","Piloto Senior 2")</f>
        <v>Piloto Senior 1</v>
      </c>
      <c r="F171">
        <v>11.27</v>
      </c>
      <c r="G171" s="1" t="str" cm="1">
        <f t="array" ref="G171">_xlfn.IFS(D171="Eventos particulares","225",D171="Federaciones y asociaciones deportivas","250",D171="Inspecciones agrícolas","275",D171="Inspecciones técnicas","300")</f>
        <v>275</v>
      </c>
      <c r="H171" s="1">
        <f>VALUE(Tabla1[[#This Row],[Columna1]])</f>
        <v>275</v>
      </c>
      <c r="I171" s="1">
        <f t="shared" si="2"/>
        <v>3099.25</v>
      </c>
    </row>
    <row r="172" spans="1:9" x14ac:dyDescent="0.2">
      <c r="A172" s="12" t="s">
        <v>52</v>
      </c>
      <c r="B172" s="12">
        <f>DATEVALUE(Tabla1[[#This Row],[Columna2]])</f>
        <v>45413</v>
      </c>
      <c r="C172" t="s">
        <v>284</v>
      </c>
      <c r="D172" t="s">
        <v>17</v>
      </c>
      <c r="E172" t="str" cm="1">
        <f t="array" ref="E172">_xlfn.IFS(D172="Eventos particulares","Piloto Junior 1",D172="Federaciones y asociaciones deportivas","Piloto Junior 2",D172="Inspecciones agrícolas","Piloto Senior 1",D172="Inspecciones técnicas","Piloto Senior 2")</f>
        <v>Piloto Senior 1</v>
      </c>
      <c r="F172">
        <v>7.86</v>
      </c>
      <c r="G172" s="1" t="str" cm="1">
        <f t="array" ref="G172">_xlfn.IFS(D172="Eventos particulares","225",D172="Federaciones y asociaciones deportivas","250",D172="Inspecciones agrícolas","275",D172="Inspecciones técnicas","300")</f>
        <v>275</v>
      </c>
      <c r="H172" s="1">
        <f>VALUE(Tabla1[[#This Row],[Columna1]])</f>
        <v>275</v>
      </c>
      <c r="I172" s="1">
        <f t="shared" si="2"/>
        <v>2161.5</v>
      </c>
    </row>
    <row r="173" spans="1:9" x14ac:dyDescent="0.2">
      <c r="A173" s="12" t="s">
        <v>52</v>
      </c>
      <c r="B173" s="12">
        <f>DATEVALUE(Tabla1[[#This Row],[Columna2]])</f>
        <v>45413</v>
      </c>
      <c r="C173" t="s">
        <v>286</v>
      </c>
      <c r="D173" t="s">
        <v>12</v>
      </c>
      <c r="E173" t="str" cm="1">
        <f t="array" ref="E173">_xlfn.IFS(D173="Eventos particulares","Piloto Junior 1",D173="Federaciones y asociaciones deportivas","Piloto Junior 2",D173="Inspecciones agrícolas","Piloto Senior 1",D173="Inspecciones técnicas","Piloto Senior 2")</f>
        <v>Piloto Junior 1</v>
      </c>
      <c r="F173">
        <v>4.2300000000000004</v>
      </c>
      <c r="G173" s="1" t="str" cm="1">
        <f t="array" ref="G173">_xlfn.IFS(D173="Eventos particulares","225",D173="Federaciones y asociaciones deportivas","250",D173="Inspecciones agrícolas","275",D173="Inspecciones técnicas","300")</f>
        <v>225</v>
      </c>
      <c r="H173" s="1">
        <f>VALUE(Tabla1[[#This Row],[Columna1]])</f>
        <v>225</v>
      </c>
      <c r="I173" s="1">
        <f t="shared" si="2"/>
        <v>951.75000000000011</v>
      </c>
    </row>
    <row r="174" spans="1:9" x14ac:dyDescent="0.2">
      <c r="A174" s="12" t="s">
        <v>52</v>
      </c>
      <c r="B174" s="12">
        <f>DATEVALUE(Tabla1[[#This Row],[Columna2]])</f>
        <v>45413</v>
      </c>
      <c r="C174" t="s">
        <v>286</v>
      </c>
      <c r="D174" t="s">
        <v>6</v>
      </c>
      <c r="E174" t="str" cm="1">
        <f t="array" ref="E174">_xlfn.IFS(D174="Eventos particulares","Piloto Junior 1",D174="Federaciones y asociaciones deportivas","Piloto Junior 2",D174="Inspecciones agrícolas","Piloto Senior 1",D174="Inspecciones técnicas","Piloto Senior 2")</f>
        <v>Piloto Junior 2</v>
      </c>
      <c r="F174">
        <v>7.05</v>
      </c>
      <c r="G174" s="1" t="str" cm="1">
        <f t="array" ref="G174">_xlfn.IFS(D174="Eventos particulares","225",D174="Federaciones y asociaciones deportivas","250",D174="Inspecciones agrícolas","275",D174="Inspecciones técnicas","300")</f>
        <v>250</v>
      </c>
      <c r="H174" s="1">
        <f>VALUE(Tabla1[[#This Row],[Columna1]])</f>
        <v>250</v>
      </c>
      <c r="I174" s="1">
        <f t="shared" si="2"/>
        <v>1762.5</v>
      </c>
    </row>
    <row r="175" spans="1:9" x14ac:dyDescent="0.2">
      <c r="A175" s="12" t="s">
        <v>144</v>
      </c>
      <c r="B175" s="12">
        <f>DATEVALUE(Tabla1[[#This Row],[Columna2]])</f>
        <v>45414</v>
      </c>
      <c r="C175" t="s">
        <v>284</v>
      </c>
      <c r="D175" t="s">
        <v>4</v>
      </c>
      <c r="E175" t="str" cm="1">
        <f t="array" ref="E175">_xlfn.IFS(D175="Eventos particulares","Piloto Junior 1",D175="Federaciones y asociaciones deportivas","Piloto Junior 2",D175="Inspecciones agrícolas","Piloto Senior 1",D175="Inspecciones técnicas","Piloto Senior 2")</f>
        <v>Piloto Senior 2</v>
      </c>
      <c r="F175">
        <v>9.48</v>
      </c>
      <c r="G175" s="1" t="str" cm="1">
        <f t="array" ref="G175">_xlfn.IFS(D175="Eventos particulares","225",D175="Federaciones y asociaciones deportivas","250",D175="Inspecciones agrícolas","275",D175="Inspecciones técnicas","300")</f>
        <v>300</v>
      </c>
      <c r="H175" s="1">
        <f>VALUE(Tabla1[[#This Row],[Columna1]])</f>
        <v>300</v>
      </c>
      <c r="I175" s="1">
        <f t="shared" si="2"/>
        <v>2844</v>
      </c>
    </row>
    <row r="176" spans="1:9" x14ac:dyDescent="0.2">
      <c r="A176" s="12" t="s">
        <v>144</v>
      </c>
      <c r="B176" s="12">
        <f>DATEVALUE(Tabla1[[#This Row],[Columna2]])</f>
        <v>45414</v>
      </c>
      <c r="C176" t="s">
        <v>286</v>
      </c>
      <c r="D176" t="s">
        <v>12</v>
      </c>
      <c r="E176" t="str" cm="1">
        <f t="array" ref="E176">_xlfn.IFS(D176="Eventos particulares","Piloto Junior 1",D176="Federaciones y asociaciones deportivas","Piloto Junior 2",D176="Inspecciones agrícolas","Piloto Senior 1",D176="Inspecciones técnicas","Piloto Senior 2")</f>
        <v>Piloto Junior 1</v>
      </c>
      <c r="F176">
        <v>7.77</v>
      </c>
      <c r="G176" s="1" t="str" cm="1">
        <f t="array" ref="G176">_xlfn.IFS(D176="Eventos particulares","225",D176="Federaciones y asociaciones deportivas","250",D176="Inspecciones agrícolas","275",D176="Inspecciones técnicas","300")</f>
        <v>225</v>
      </c>
      <c r="H176" s="1">
        <f>VALUE(Tabla1[[#This Row],[Columna1]])</f>
        <v>225</v>
      </c>
      <c r="I176" s="1">
        <f t="shared" si="2"/>
        <v>1748.25</v>
      </c>
    </row>
    <row r="177" spans="1:9" x14ac:dyDescent="0.2">
      <c r="A177" s="12" t="s">
        <v>144</v>
      </c>
      <c r="B177" s="12">
        <f>DATEVALUE(Tabla1[[#This Row],[Columna2]])</f>
        <v>45414</v>
      </c>
      <c r="C177" t="s">
        <v>287</v>
      </c>
      <c r="D177" t="s">
        <v>6</v>
      </c>
      <c r="E177" t="str" cm="1">
        <f t="array" ref="E177">_xlfn.IFS(D177="Eventos particulares","Piloto Junior 1",D177="Federaciones y asociaciones deportivas","Piloto Junior 2",D177="Inspecciones agrícolas","Piloto Senior 1",D177="Inspecciones técnicas","Piloto Senior 2")</f>
        <v>Piloto Junior 2</v>
      </c>
      <c r="F177">
        <v>4.92</v>
      </c>
      <c r="G177" s="1" t="str" cm="1">
        <f t="array" ref="G177">_xlfn.IFS(D177="Eventos particulares","225",D177="Federaciones y asociaciones deportivas","250",D177="Inspecciones agrícolas","275",D177="Inspecciones técnicas","300")</f>
        <v>250</v>
      </c>
      <c r="H177" s="1">
        <f>VALUE(Tabla1[[#This Row],[Columna1]])</f>
        <v>250</v>
      </c>
      <c r="I177" s="1">
        <f t="shared" si="2"/>
        <v>1230</v>
      </c>
    </row>
    <row r="178" spans="1:9" x14ac:dyDescent="0.2">
      <c r="A178" s="12" t="s">
        <v>214</v>
      </c>
      <c r="B178" s="12">
        <f>DATEVALUE(Tabla1[[#This Row],[Columna2]])</f>
        <v>45415</v>
      </c>
      <c r="C178" t="s">
        <v>285</v>
      </c>
      <c r="D178" t="s">
        <v>4</v>
      </c>
      <c r="E178" t="str" cm="1">
        <f t="array" ref="E178">_xlfn.IFS(D178="Eventos particulares","Piloto Junior 1",D178="Federaciones y asociaciones deportivas","Piloto Junior 2",D178="Inspecciones agrícolas","Piloto Senior 1",D178="Inspecciones técnicas","Piloto Senior 2")</f>
        <v>Piloto Senior 2</v>
      </c>
      <c r="F178">
        <v>13.06</v>
      </c>
      <c r="G178" s="1" t="str" cm="1">
        <f t="array" ref="G178">_xlfn.IFS(D178="Eventos particulares","225",D178="Federaciones y asociaciones deportivas","250",D178="Inspecciones agrícolas","275",D178="Inspecciones técnicas","300")</f>
        <v>300</v>
      </c>
      <c r="H178" s="1">
        <f>VALUE(Tabla1[[#This Row],[Columna1]])</f>
        <v>300</v>
      </c>
      <c r="I178" s="1">
        <f t="shared" si="2"/>
        <v>3918</v>
      </c>
    </row>
    <row r="179" spans="1:9" x14ac:dyDescent="0.2">
      <c r="A179" s="12" t="s">
        <v>214</v>
      </c>
      <c r="B179" s="12">
        <f>DATEVALUE(Tabla1[[#This Row],[Columna2]])</f>
        <v>45415</v>
      </c>
      <c r="C179" t="s">
        <v>286</v>
      </c>
      <c r="D179" t="s">
        <v>4</v>
      </c>
      <c r="E179" t="str" cm="1">
        <f t="array" ref="E179">_xlfn.IFS(D179="Eventos particulares","Piloto Junior 1",D179="Federaciones y asociaciones deportivas","Piloto Junior 2",D179="Inspecciones agrícolas","Piloto Senior 1",D179="Inspecciones técnicas","Piloto Senior 2")</f>
        <v>Piloto Senior 2</v>
      </c>
      <c r="F179">
        <v>6.92</v>
      </c>
      <c r="G179" s="1" t="str" cm="1">
        <f t="array" ref="G179">_xlfn.IFS(D179="Eventos particulares","225",D179="Federaciones y asociaciones deportivas","250",D179="Inspecciones agrícolas","275",D179="Inspecciones técnicas","300")</f>
        <v>300</v>
      </c>
      <c r="H179" s="1">
        <f>VALUE(Tabla1[[#This Row],[Columna1]])</f>
        <v>300</v>
      </c>
      <c r="I179" s="1">
        <f t="shared" si="2"/>
        <v>2076</v>
      </c>
    </row>
    <row r="180" spans="1:9" x14ac:dyDescent="0.2">
      <c r="A180" s="12" t="s">
        <v>214</v>
      </c>
      <c r="B180" s="12">
        <f>DATEVALUE(Tabla1[[#This Row],[Columna2]])</f>
        <v>45415</v>
      </c>
      <c r="C180" t="s">
        <v>287</v>
      </c>
      <c r="D180" t="s">
        <v>12</v>
      </c>
      <c r="E180" t="str" cm="1">
        <f t="array" ref="E180">_xlfn.IFS(D180="Eventos particulares","Piloto Junior 1",D180="Federaciones y asociaciones deportivas","Piloto Junior 2",D180="Inspecciones agrícolas","Piloto Senior 1",D180="Inspecciones técnicas","Piloto Senior 2")</f>
        <v>Piloto Junior 1</v>
      </c>
      <c r="F180">
        <v>12.16</v>
      </c>
      <c r="G180" s="1" t="str" cm="1">
        <f t="array" ref="G180">_xlfn.IFS(D180="Eventos particulares","225",D180="Federaciones y asociaciones deportivas","250",D180="Inspecciones agrícolas","275",D180="Inspecciones técnicas","300")</f>
        <v>225</v>
      </c>
      <c r="H180" s="1">
        <f>VALUE(Tabla1[[#This Row],[Columna1]])</f>
        <v>225</v>
      </c>
      <c r="I180" s="1">
        <f t="shared" si="2"/>
        <v>2736</v>
      </c>
    </row>
    <row r="181" spans="1:9" x14ac:dyDescent="0.2">
      <c r="A181" s="12" t="s">
        <v>211</v>
      </c>
      <c r="B181" s="12">
        <f>DATEVALUE(Tabla1[[#This Row],[Columna2]])</f>
        <v>45416</v>
      </c>
      <c r="C181" t="s">
        <v>285</v>
      </c>
      <c r="D181" t="s">
        <v>12</v>
      </c>
      <c r="E181" t="str" cm="1">
        <f t="array" ref="E181">_xlfn.IFS(D181="Eventos particulares","Piloto Junior 1",D181="Federaciones y asociaciones deportivas","Piloto Junior 2",D181="Inspecciones agrícolas","Piloto Senior 1",D181="Inspecciones técnicas","Piloto Senior 2")</f>
        <v>Piloto Junior 1</v>
      </c>
      <c r="F181">
        <v>11.8</v>
      </c>
      <c r="G181" s="1" t="str" cm="1">
        <f t="array" ref="G181">_xlfn.IFS(D181="Eventos particulares","225",D181="Federaciones y asociaciones deportivas","250",D181="Inspecciones agrícolas","275",D181="Inspecciones técnicas","300")</f>
        <v>225</v>
      </c>
      <c r="H181" s="1">
        <f>VALUE(Tabla1[[#This Row],[Columna1]])</f>
        <v>225</v>
      </c>
      <c r="I181" s="1">
        <f t="shared" si="2"/>
        <v>2655</v>
      </c>
    </row>
    <row r="182" spans="1:9" x14ac:dyDescent="0.2">
      <c r="A182" s="12" t="s">
        <v>211</v>
      </c>
      <c r="B182" s="12">
        <f>DATEVALUE(Tabla1[[#This Row],[Columna2]])</f>
        <v>45416</v>
      </c>
      <c r="C182" t="s">
        <v>287</v>
      </c>
      <c r="D182" t="s">
        <v>12</v>
      </c>
      <c r="E182" t="str" cm="1">
        <f t="array" ref="E182">_xlfn.IFS(D182="Eventos particulares","Piloto Junior 1",D182="Federaciones y asociaciones deportivas","Piloto Junior 2",D182="Inspecciones agrícolas","Piloto Senior 1",D182="Inspecciones técnicas","Piloto Senior 2")</f>
        <v>Piloto Junior 1</v>
      </c>
      <c r="F182">
        <v>9.3699999999999992</v>
      </c>
      <c r="G182" s="1" t="str" cm="1">
        <f t="array" ref="G182">_xlfn.IFS(D182="Eventos particulares","225",D182="Federaciones y asociaciones deportivas","250",D182="Inspecciones agrícolas","275",D182="Inspecciones técnicas","300")</f>
        <v>225</v>
      </c>
      <c r="H182" s="1">
        <f>VALUE(Tabla1[[#This Row],[Columna1]])</f>
        <v>225</v>
      </c>
      <c r="I182" s="1">
        <f t="shared" si="2"/>
        <v>2108.25</v>
      </c>
    </row>
    <row r="183" spans="1:9" x14ac:dyDescent="0.2">
      <c r="A183" s="12" t="s">
        <v>153</v>
      </c>
      <c r="B183" s="12">
        <f>DATEVALUE(Tabla1[[#This Row],[Columna2]])</f>
        <v>45417</v>
      </c>
      <c r="C183" t="s">
        <v>284</v>
      </c>
      <c r="D183" t="s">
        <v>4</v>
      </c>
      <c r="E183" t="str" cm="1">
        <f t="array" ref="E183">_xlfn.IFS(D183="Eventos particulares","Piloto Junior 1",D183="Federaciones y asociaciones deportivas","Piloto Junior 2",D183="Inspecciones agrícolas","Piloto Senior 1",D183="Inspecciones técnicas","Piloto Senior 2")</f>
        <v>Piloto Senior 2</v>
      </c>
      <c r="F183">
        <v>10.76</v>
      </c>
      <c r="G183" s="1" t="str" cm="1">
        <f t="array" ref="G183">_xlfn.IFS(D183="Eventos particulares","225",D183="Federaciones y asociaciones deportivas","250",D183="Inspecciones agrícolas","275",D183="Inspecciones técnicas","300")</f>
        <v>300</v>
      </c>
      <c r="H183" s="1">
        <f>VALUE(Tabla1[[#This Row],[Columna1]])</f>
        <v>300</v>
      </c>
      <c r="I183" s="1">
        <f t="shared" si="2"/>
        <v>3228</v>
      </c>
    </row>
    <row r="184" spans="1:9" x14ac:dyDescent="0.2">
      <c r="A184" s="12" t="s">
        <v>128</v>
      </c>
      <c r="B184" s="12">
        <f>DATEVALUE(Tabla1[[#This Row],[Columna2]])</f>
        <v>45418</v>
      </c>
      <c r="C184" t="s">
        <v>284</v>
      </c>
      <c r="D184" t="s">
        <v>4</v>
      </c>
      <c r="E184" t="str" cm="1">
        <f t="array" ref="E184">_xlfn.IFS(D184="Eventos particulares","Piloto Junior 1",D184="Federaciones y asociaciones deportivas","Piloto Junior 2",D184="Inspecciones agrícolas","Piloto Senior 1",D184="Inspecciones técnicas","Piloto Senior 2")</f>
        <v>Piloto Senior 2</v>
      </c>
      <c r="F184">
        <v>5.79</v>
      </c>
      <c r="G184" s="1" t="str" cm="1">
        <f t="array" ref="G184">_xlfn.IFS(D184="Eventos particulares","225",D184="Federaciones y asociaciones deportivas","250",D184="Inspecciones agrícolas","275",D184="Inspecciones técnicas","300")</f>
        <v>300</v>
      </c>
      <c r="H184" s="1">
        <f>VALUE(Tabla1[[#This Row],[Columna1]])</f>
        <v>300</v>
      </c>
      <c r="I184" s="1">
        <f t="shared" si="2"/>
        <v>1737</v>
      </c>
    </row>
    <row r="185" spans="1:9" x14ac:dyDescent="0.2">
      <c r="A185" s="12" t="s">
        <v>128</v>
      </c>
      <c r="B185" s="12">
        <f>DATEVALUE(Tabla1[[#This Row],[Columna2]])</f>
        <v>45418</v>
      </c>
      <c r="C185" t="s">
        <v>285</v>
      </c>
      <c r="D185" t="s">
        <v>6</v>
      </c>
      <c r="E185" t="str" cm="1">
        <f t="array" ref="E185">_xlfn.IFS(D185="Eventos particulares","Piloto Junior 1",D185="Federaciones y asociaciones deportivas","Piloto Junior 2",D185="Inspecciones agrícolas","Piloto Senior 1",D185="Inspecciones técnicas","Piloto Senior 2")</f>
        <v>Piloto Junior 2</v>
      </c>
      <c r="F185">
        <v>5.5</v>
      </c>
      <c r="G185" s="1" t="str" cm="1">
        <f t="array" ref="G185">_xlfn.IFS(D185="Eventos particulares","225",D185="Federaciones y asociaciones deportivas","250",D185="Inspecciones agrícolas","275",D185="Inspecciones técnicas","300")</f>
        <v>250</v>
      </c>
      <c r="H185" s="1">
        <f>VALUE(Tabla1[[#This Row],[Columna1]])</f>
        <v>250</v>
      </c>
      <c r="I185" s="1">
        <f t="shared" si="2"/>
        <v>1375</v>
      </c>
    </row>
    <row r="186" spans="1:9" x14ac:dyDescent="0.2">
      <c r="A186" s="12" t="s">
        <v>128</v>
      </c>
      <c r="B186" s="12">
        <f>DATEVALUE(Tabla1[[#This Row],[Columna2]])</f>
        <v>45418</v>
      </c>
      <c r="C186" t="s">
        <v>287</v>
      </c>
      <c r="D186" t="s">
        <v>12</v>
      </c>
      <c r="E186" t="str" cm="1">
        <f t="array" ref="E186">_xlfn.IFS(D186="Eventos particulares","Piloto Junior 1",D186="Federaciones y asociaciones deportivas","Piloto Junior 2",D186="Inspecciones agrícolas","Piloto Senior 1",D186="Inspecciones técnicas","Piloto Senior 2")</f>
        <v>Piloto Junior 1</v>
      </c>
      <c r="F186">
        <v>13.03</v>
      </c>
      <c r="G186" s="1" t="str" cm="1">
        <f t="array" ref="G186">_xlfn.IFS(D186="Eventos particulares","225",D186="Federaciones y asociaciones deportivas","250",D186="Inspecciones agrícolas","275",D186="Inspecciones técnicas","300")</f>
        <v>225</v>
      </c>
      <c r="H186" s="1">
        <f>VALUE(Tabla1[[#This Row],[Columna1]])</f>
        <v>225</v>
      </c>
      <c r="I186" s="1">
        <f t="shared" si="2"/>
        <v>2931.75</v>
      </c>
    </row>
    <row r="187" spans="1:9" x14ac:dyDescent="0.2">
      <c r="A187" s="12" t="s">
        <v>249</v>
      </c>
      <c r="B187" s="12">
        <f>DATEVALUE(Tabla1[[#This Row],[Columna2]])</f>
        <v>45419</v>
      </c>
      <c r="C187" t="s">
        <v>286</v>
      </c>
      <c r="D187" t="s">
        <v>6</v>
      </c>
      <c r="E187" t="str" cm="1">
        <f t="array" ref="E187">_xlfn.IFS(D187="Eventos particulares","Piloto Junior 1",D187="Federaciones y asociaciones deportivas","Piloto Junior 2",D187="Inspecciones agrícolas","Piloto Senior 1",D187="Inspecciones técnicas","Piloto Senior 2")</f>
        <v>Piloto Junior 2</v>
      </c>
      <c r="F187">
        <v>13.37</v>
      </c>
      <c r="G187" s="1" t="str" cm="1">
        <f t="array" ref="G187">_xlfn.IFS(D187="Eventos particulares","225",D187="Federaciones y asociaciones deportivas","250",D187="Inspecciones agrícolas","275",D187="Inspecciones técnicas","300")</f>
        <v>250</v>
      </c>
      <c r="H187" s="1">
        <f>VALUE(Tabla1[[#This Row],[Columna1]])</f>
        <v>250</v>
      </c>
      <c r="I187" s="1">
        <f t="shared" si="2"/>
        <v>3342.5</v>
      </c>
    </row>
    <row r="188" spans="1:9" x14ac:dyDescent="0.2">
      <c r="A188" s="12" t="s">
        <v>262</v>
      </c>
      <c r="B188" s="12">
        <f>DATEVALUE(Tabla1[[#This Row],[Columna2]])</f>
        <v>45421</v>
      </c>
      <c r="C188" t="s">
        <v>286</v>
      </c>
      <c r="D188" t="s">
        <v>12</v>
      </c>
      <c r="E188" t="str" cm="1">
        <f t="array" ref="E188">_xlfn.IFS(D188="Eventos particulares","Piloto Junior 1",D188="Federaciones y asociaciones deportivas","Piloto Junior 2",D188="Inspecciones agrícolas","Piloto Senior 1",D188="Inspecciones técnicas","Piloto Senior 2")</f>
        <v>Piloto Junior 1</v>
      </c>
      <c r="F188">
        <v>5.22</v>
      </c>
      <c r="G188" s="1" t="str" cm="1">
        <f t="array" ref="G188">_xlfn.IFS(D188="Eventos particulares","225",D188="Federaciones y asociaciones deportivas","250",D188="Inspecciones agrícolas","275",D188="Inspecciones técnicas","300")</f>
        <v>225</v>
      </c>
      <c r="H188" s="1">
        <f>VALUE(Tabla1[[#This Row],[Columna1]])</f>
        <v>225</v>
      </c>
      <c r="I188" s="1">
        <f t="shared" si="2"/>
        <v>1174.5</v>
      </c>
    </row>
    <row r="189" spans="1:9" x14ac:dyDescent="0.2">
      <c r="A189" s="12" t="s">
        <v>262</v>
      </c>
      <c r="B189" s="12">
        <f>DATEVALUE(Tabla1[[#This Row],[Columna2]])</f>
        <v>45421</v>
      </c>
      <c r="C189" t="s">
        <v>287</v>
      </c>
      <c r="D189" t="s">
        <v>6</v>
      </c>
      <c r="E189" t="str" cm="1">
        <f t="array" ref="E189">_xlfn.IFS(D189="Eventos particulares","Piloto Junior 1",D189="Federaciones y asociaciones deportivas","Piloto Junior 2",D189="Inspecciones agrícolas","Piloto Senior 1",D189="Inspecciones técnicas","Piloto Senior 2")</f>
        <v>Piloto Junior 2</v>
      </c>
      <c r="F189">
        <v>9.7899999999999991</v>
      </c>
      <c r="G189" s="1" t="str" cm="1">
        <f t="array" ref="G189">_xlfn.IFS(D189="Eventos particulares","225",D189="Federaciones y asociaciones deportivas","250",D189="Inspecciones agrícolas","275",D189="Inspecciones técnicas","300")</f>
        <v>250</v>
      </c>
      <c r="H189" s="1">
        <f>VALUE(Tabla1[[#This Row],[Columna1]])</f>
        <v>250</v>
      </c>
      <c r="I189" s="1">
        <f t="shared" si="2"/>
        <v>2447.5</v>
      </c>
    </row>
    <row r="190" spans="1:9" x14ac:dyDescent="0.2">
      <c r="A190" s="12" t="s">
        <v>34</v>
      </c>
      <c r="B190" s="12">
        <f>DATEVALUE(Tabla1[[#This Row],[Columna2]])</f>
        <v>45422</v>
      </c>
      <c r="C190" t="s">
        <v>284</v>
      </c>
      <c r="D190" t="s">
        <v>4</v>
      </c>
      <c r="E190" t="str" cm="1">
        <f t="array" ref="E190">_xlfn.IFS(D190="Eventos particulares","Piloto Junior 1",D190="Federaciones y asociaciones deportivas","Piloto Junior 2",D190="Inspecciones agrícolas","Piloto Senior 1",D190="Inspecciones técnicas","Piloto Senior 2")</f>
        <v>Piloto Senior 2</v>
      </c>
      <c r="F190">
        <v>4.99</v>
      </c>
      <c r="G190" s="1" t="str" cm="1">
        <f t="array" ref="G190">_xlfn.IFS(D190="Eventos particulares","225",D190="Federaciones y asociaciones deportivas","250",D190="Inspecciones agrícolas","275",D190="Inspecciones técnicas","300")</f>
        <v>300</v>
      </c>
      <c r="H190" s="1">
        <f>VALUE(Tabla1[[#This Row],[Columna1]])</f>
        <v>300</v>
      </c>
      <c r="I190" s="1">
        <f t="shared" si="2"/>
        <v>1497</v>
      </c>
    </row>
    <row r="191" spans="1:9" x14ac:dyDescent="0.2">
      <c r="A191" s="12" t="s">
        <v>34</v>
      </c>
      <c r="B191" s="12">
        <f>DATEVALUE(Tabla1[[#This Row],[Columna2]])</f>
        <v>45422</v>
      </c>
      <c r="C191" t="s">
        <v>284</v>
      </c>
      <c r="D191" t="s">
        <v>17</v>
      </c>
      <c r="E191" t="str" cm="1">
        <f t="array" ref="E191">_xlfn.IFS(D191="Eventos particulares","Piloto Junior 1",D191="Federaciones y asociaciones deportivas","Piloto Junior 2",D191="Inspecciones agrícolas","Piloto Senior 1",D191="Inspecciones técnicas","Piloto Senior 2")</f>
        <v>Piloto Senior 1</v>
      </c>
      <c r="F191">
        <v>15.32</v>
      </c>
      <c r="G191" s="1" t="str" cm="1">
        <f t="array" ref="G191">_xlfn.IFS(D191="Eventos particulares","225",D191="Federaciones y asociaciones deportivas","250",D191="Inspecciones agrícolas","275",D191="Inspecciones técnicas","300")</f>
        <v>275</v>
      </c>
      <c r="H191" s="1">
        <f>VALUE(Tabla1[[#This Row],[Columna1]])</f>
        <v>275</v>
      </c>
      <c r="I191" s="1">
        <f t="shared" si="2"/>
        <v>4213</v>
      </c>
    </row>
    <row r="192" spans="1:9" x14ac:dyDescent="0.2">
      <c r="A192" s="12" t="s">
        <v>34</v>
      </c>
      <c r="B192" s="12">
        <f>DATEVALUE(Tabla1[[#This Row],[Columna2]])</f>
        <v>45422</v>
      </c>
      <c r="C192" t="s">
        <v>284</v>
      </c>
      <c r="D192" t="s">
        <v>12</v>
      </c>
      <c r="E192" t="str" cm="1">
        <f t="array" ref="E192">_xlfn.IFS(D192="Eventos particulares","Piloto Junior 1",D192="Federaciones y asociaciones deportivas","Piloto Junior 2",D192="Inspecciones agrícolas","Piloto Senior 1",D192="Inspecciones técnicas","Piloto Senior 2")</f>
        <v>Piloto Junior 1</v>
      </c>
      <c r="F192">
        <v>6.21</v>
      </c>
      <c r="G192" s="1" t="str" cm="1">
        <f t="array" ref="G192">_xlfn.IFS(D192="Eventos particulares","225",D192="Federaciones y asociaciones deportivas","250",D192="Inspecciones agrícolas","275",D192="Inspecciones técnicas","300")</f>
        <v>225</v>
      </c>
      <c r="H192" s="1">
        <f>VALUE(Tabla1[[#This Row],[Columna1]])</f>
        <v>225</v>
      </c>
      <c r="I192" s="1">
        <f t="shared" si="2"/>
        <v>1397.25</v>
      </c>
    </row>
    <row r="193" spans="1:9" x14ac:dyDescent="0.2">
      <c r="A193" s="12" t="s">
        <v>195</v>
      </c>
      <c r="B193" s="12">
        <f>DATEVALUE(Tabla1[[#This Row],[Columna2]])</f>
        <v>45423</v>
      </c>
      <c r="C193" t="s">
        <v>285</v>
      </c>
      <c r="D193" t="s">
        <v>12</v>
      </c>
      <c r="E193" t="str" cm="1">
        <f t="array" ref="E193">_xlfn.IFS(D193="Eventos particulares","Piloto Junior 1",D193="Federaciones y asociaciones deportivas","Piloto Junior 2",D193="Inspecciones agrícolas","Piloto Senior 1",D193="Inspecciones técnicas","Piloto Senior 2")</f>
        <v>Piloto Junior 1</v>
      </c>
      <c r="F193">
        <v>12.24</v>
      </c>
      <c r="G193" s="1" t="str" cm="1">
        <f t="array" ref="G193">_xlfn.IFS(D193="Eventos particulares","225",D193="Federaciones y asociaciones deportivas","250",D193="Inspecciones agrícolas","275",D193="Inspecciones técnicas","300")</f>
        <v>225</v>
      </c>
      <c r="H193" s="1">
        <f>VALUE(Tabla1[[#This Row],[Columna1]])</f>
        <v>225</v>
      </c>
      <c r="I193" s="1">
        <f t="shared" si="2"/>
        <v>2754</v>
      </c>
    </row>
    <row r="194" spans="1:9" x14ac:dyDescent="0.2">
      <c r="A194" s="12" t="s">
        <v>23</v>
      </c>
      <c r="B194" s="12">
        <f>DATEVALUE(Tabla1[[#This Row],[Columna2]])</f>
        <v>45425</v>
      </c>
      <c r="C194" t="s">
        <v>284</v>
      </c>
      <c r="D194" t="s">
        <v>6</v>
      </c>
      <c r="E194" t="str" cm="1">
        <f t="array" ref="E194">_xlfn.IFS(D194="Eventos particulares","Piloto Junior 1",D194="Federaciones y asociaciones deportivas","Piloto Junior 2",D194="Inspecciones agrícolas","Piloto Senior 1",D194="Inspecciones técnicas","Piloto Senior 2")</f>
        <v>Piloto Junior 2</v>
      </c>
      <c r="F194">
        <v>11.59</v>
      </c>
      <c r="G194" s="1" t="str" cm="1">
        <f t="array" ref="G194">_xlfn.IFS(D194="Eventos particulares","225",D194="Federaciones y asociaciones deportivas","250",D194="Inspecciones agrícolas","275",D194="Inspecciones técnicas","300")</f>
        <v>250</v>
      </c>
      <c r="H194" s="1">
        <f>VALUE(Tabla1[[#This Row],[Columna1]])</f>
        <v>250</v>
      </c>
      <c r="I194" s="1">
        <f t="shared" ref="I194:I257" si="3">F194*H194</f>
        <v>2897.5</v>
      </c>
    </row>
    <row r="195" spans="1:9" x14ac:dyDescent="0.2">
      <c r="A195" s="12" t="s">
        <v>197</v>
      </c>
      <c r="B195" s="12">
        <f>DATEVALUE(Tabla1[[#This Row],[Columna2]])</f>
        <v>45426</v>
      </c>
      <c r="C195" t="s">
        <v>285</v>
      </c>
      <c r="D195" t="s">
        <v>4</v>
      </c>
      <c r="E195" t="str" cm="1">
        <f t="array" ref="E195">_xlfn.IFS(D195="Eventos particulares","Piloto Junior 1",D195="Federaciones y asociaciones deportivas","Piloto Junior 2",D195="Inspecciones agrícolas","Piloto Senior 1",D195="Inspecciones técnicas","Piloto Senior 2")</f>
        <v>Piloto Senior 2</v>
      </c>
      <c r="F195">
        <v>12.43</v>
      </c>
      <c r="G195" s="1" t="str" cm="1">
        <f t="array" ref="G195">_xlfn.IFS(D195="Eventos particulares","225",D195="Federaciones y asociaciones deportivas","250",D195="Inspecciones agrícolas","275",D195="Inspecciones técnicas","300")</f>
        <v>300</v>
      </c>
      <c r="H195" s="1">
        <f>VALUE(Tabla1[[#This Row],[Columna1]])</f>
        <v>300</v>
      </c>
      <c r="I195" s="1">
        <f t="shared" si="3"/>
        <v>3729</v>
      </c>
    </row>
    <row r="196" spans="1:9" x14ac:dyDescent="0.2">
      <c r="A196" s="12" t="s">
        <v>197</v>
      </c>
      <c r="B196" s="12">
        <f>DATEVALUE(Tabla1[[#This Row],[Columna2]])</f>
        <v>45426</v>
      </c>
      <c r="C196" t="s">
        <v>285</v>
      </c>
      <c r="D196" t="s">
        <v>4</v>
      </c>
      <c r="E196" t="str" cm="1">
        <f t="array" ref="E196">_xlfn.IFS(D196="Eventos particulares","Piloto Junior 1",D196="Federaciones y asociaciones deportivas","Piloto Junior 2",D196="Inspecciones agrícolas","Piloto Senior 1",D196="Inspecciones técnicas","Piloto Senior 2")</f>
        <v>Piloto Senior 2</v>
      </c>
      <c r="F196">
        <v>6.03</v>
      </c>
      <c r="G196" s="1" t="str" cm="1">
        <f t="array" ref="G196">_xlfn.IFS(D196="Eventos particulares","225",D196="Federaciones y asociaciones deportivas","250",D196="Inspecciones agrícolas","275",D196="Inspecciones técnicas","300")</f>
        <v>300</v>
      </c>
      <c r="H196" s="1">
        <f>VALUE(Tabla1[[#This Row],[Columna1]])</f>
        <v>300</v>
      </c>
      <c r="I196" s="1">
        <f t="shared" si="3"/>
        <v>1809</v>
      </c>
    </row>
    <row r="197" spans="1:9" x14ac:dyDescent="0.2">
      <c r="A197" s="12" t="s">
        <v>197</v>
      </c>
      <c r="B197" s="12">
        <f>DATEVALUE(Tabla1[[#This Row],[Columna2]])</f>
        <v>45426</v>
      </c>
      <c r="C197" t="s">
        <v>285</v>
      </c>
      <c r="D197" t="s">
        <v>4</v>
      </c>
      <c r="E197" t="str" cm="1">
        <f t="array" ref="E197">_xlfn.IFS(D197="Eventos particulares","Piloto Junior 1",D197="Federaciones y asociaciones deportivas","Piloto Junior 2",D197="Inspecciones agrícolas","Piloto Senior 1",D197="Inspecciones técnicas","Piloto Senior 2")</f>
        <v>Piloto Senior 2</v>
      </c>
      <c r="F197">
        <v>10.6</v>
      </c>
      <c r="G197" s="1" t="str" cm="1">
        <f t="array" ref="G197">_xlfn.IFS(D197="Eventos particulares","225",D197="Federaciones y asociaciones deportivas","250",D197="Inspecciones agrícolas","275",D197="Inspecciones técnicas","300")</f>
        <v>300</v>
      </c>
      <c r="H197" s="1">
        <f>VALUE(Tabla1[[#This Row],[Columna1]])</f>
        <v>300</v>
      </c>
      <c r="I197" s="1">
        <f t="shared" si="3"/>
        <v>3180</v>
      </c>
    </row>
    <row r="198" spans="1:9" x14ac:dyDescent="0.2">
      <c r="A198" s="12" t="s">
        <v>197</v>
      </c>
      <c r="B198" s="12">
        <f>DATEVALUE(Tabla1[[#This Row],[Columna2]])</f>
        <v>45426</v>
      </c>
      <c r="C198" t="s">
        <v>286</v>
      </c>
      <c r="D198" t="s">
        <v>12</v>
      </c>
      <c r="E198" t="str" cm="1">
        <f t="array" ref="E198">_xlfn.IFS(D198="Eventos particulares","Piloto Junior 1",D198="Federaciones y asociaciones deportivas","Piloto Junior 2",D198="Inspecciones agrícolas","Piloto Senior 1",D198="Inspecciones técnicas","Piloto Senior 2")</f>
        <v>Piloto Junior 1</v>
      </c>
      <c r="F198">
        <v>15.71</v>
      </c>
      <c r="G198" s="1" t="str" cm="1">
        <f t="array" ref="G198">_xlfn.IFS(D198="Eventos particulares","225",D198="Federaciones y asociaciones deportivas","250",D198="Inspecciones agrícolas","275",D198="Inspecciones técnicas","300")</f>
        <v>225</v>
      </c>
      <c r="H198" s="1">
        <f>VALUE(Tabla1[[#This Row],[Columna1]])</f>
        <v>225</v>
      </c>
      <c r="I198" s="1">
        <f t="shared" si="3"/>
        <v>3534.75</v>
      </c>
    </row>
    <row r="199" spans="1:9" x14ac:dyDescent="0.2">
      <c r="A199" s="12" t="s">
        <v>255</v>
      </c>
      <c r="B199" s="12">
        <f>DATEVALUE(Tabla1[[#This Row],[Columna2]])</f>
        <v>45427</v>
      </c>
      <c r="C199" t="s">
        <v>286</v>
      </c>
      <c r="D199" t="s">
        <v>6</v>
      </c>
      <c r="E199" t="str" cm="1">
        <f t="array" ref="E199">_xlfn.IFS(D199="Eventos particulares","Piloto Junior 1",D199="Federaciones y asociaciones deportivas","Piloto Junior 2",D199="Inspecciones agrícolas","Piloto Senior 1",D199="Inspecciones técnicas","Piloto Senior 2")</f>
        <v>Piloto Junior 2</v>
      </c>
      <c r="F199">
        <v>13.96</v>
      </c>
      <c r="G199" s="1" t="str" cm="1">
        <f t="array" ref="G199">_xlfn.IFS(D199="Eventos particulares","225",D199="Federaciones y asociaciones deportivas","250",D199="Inspecciones agrícolas","275",D199="Inspecciones técnicas","300")</f>
        <v>250</v>
      </c>
      <c r="H199" s="1">
        <f>VALUE(Tabla1[[#This Row],[Columna1]])</f>
        <v>250</v>
      </c>
      <c r="I199" s="1">
        <f t="shared" si="3"/>
        <v>3490</v>
      </c>
    </row>
    <row r="200" spans="1:9" x14ac:dyDescent="0.2">
      <c r="A200" s="12" t="s">
        <v>279</v>
      </c>
      <c r="B200" s="12">
        <f>DATEVALUE(Tabla1[[#This Row],[Columna2]])</f>
        <v>45428</v>
      </c>
      <c r="C200" t="s">
        <v>287</v>
      </c>
      <c r="D200" t="s">
        <v>6</v>
      </c>
      <c r="E200" t="str" cm="1">
        <f t="array" ref="E200">_xlfn.IFS(D200="Eventos particulares","Piloto Junior 1",D200="Federaciones y asociaciones deportivas","Piloto Junior 2",D200="Inspecciones agrícolas","Piloto Senior 1",D200="Inspecciones técnicas","Piloto Senior 2")</f>
        <v>Piloto Junior 2</v>
      </c>
      <c r="F200">
        <v>11.01</v>
      </c>
      <c r="G200" s="1" t="str" cm="1">
        <f t="array" ref="G200">_xlfn.IFS(D200="Eventos particulares","225",D200="Federaciones y asociaciones deportivas","250",D200="Inspecciones agrícolas","275",D200="Inspecciones técnicas","300")</f>
        <v>250</v>
      </c>
      <c r="H200" s="1">
        <f>VALUE(Tabla1[[#This Row],[Columna1]])</f>
        <v>250</v>
      </c>
      <c r="I200" s="1">
        <f t="shared" si="3"/>
        <v>2752.5</v>
      </c>
    </row>
    <row r="201" spans="1:9" x14ac:dyDescent="0.2">
      <c r="A201" s="12" t="s">
        <v>241</v>
      </c>
      <c r="B201" s="12">
        <f>DATEVALUE(Tabla1[[#This Row],[Columna2]])</f>
        <v>45429</v>
      </c>
      <c r="C201" t="s">
        <v>286</v>
      </c>
      <c r="D201" t="s">
        <v>4</v>
      </c>
      <c r="E201" t="str" cm="1">
        <f t="array" ref="E201">_xlfn.IFS(D201="Eventos particulares","Piloto Junior 1",D201="Federaciones y asociaciones deportivas","Piloto Junior 2",D201="Inspecciones agrícolas","Piloto Senior 1",D201="Inspecciones técnicas","Piloto Senior 2")</f>
        <v>Piloto Senior 2</v>
      </c>
      <c r="F201">
        <v>4.1500000000000004</v>
      </c>
      <c r="G201" s="1" t="str" cm="1">
        <f t="array" ref="G201">_xlfn.IFS(D201="Eventos particulares","225",D201="Federaciones y asociaciones deportivas","250",D201="Inspecciones agrícolas","275",D201="Inspecciones técnicas","300")</f>
        <v>300</v>
      </c>
      <c r="H201" s="1">
        <f>VALUE(Tabla1[[#This Row],[Columna1]])</f>
        <v>300</v>
      </c>
      <c r="I201" s="1">
        <f t="shared" si="3"/>
        <v>1245</v>
      </c>
    </row>
    <row r="202" spans="1:9" x14ac:dyDescent="0.2">
      <c r="A202" s="12" t="s">
        <v>188</v>
      </c>
      <c r="B202" s="12">
        <f>DATEVALUE(Tabla1[[#This Row],[Columna2]])</f>
        <v>45430</v>
      </c>
      <c r="C202" t="s">
        <v>285</v>
      </c>
      <c r="D202" t="s">
        <v>12</v>
      </c>
      <c r="E202" t="str" cm="1">
        <f t="array" ref="E202">_xlfn.IFS(D202="Eventos particulares","Piloto Junior 1",D202="Federaciones y asociaciones deportivas","Piloto Junior 2",D202="Inspecciones agrícolas","Piloto Senior 1",D202="Inspecciones técnicas","Piloto Senior 2")</f>
        <v>Piloto Junior 1</v>
      </c>
      <c r="F202">
        <v>12.53</v>
      </c>
      <c r="G202" s="1" t="str" cm="1">
        <f t="array" ref="G202">_xlfn.IFS(D202="Eventos particulares","225",D202="Federaciones y asociaciones deportivas","250",D202="Inspecciones agrícolas","275",D202="Inspecciones técnicas","300")</f>
        <v>225</v>
      </c>
      <c r="H202" s="1">
        <f>VALUE(Tabla1[[#This Row],[Columna1]])</f>
        <v>225</v>
      </c>
      <c r="I202" s="1">
        <f t="shared" si="3"/>
        <v>2819.25</v>
      </c>
    </row>
    <row r="203" spans="1:9" x14ac:dyDescent="0.2">
      <c r="A203" s="12" t="s">
        <v>145</v>
      </c>
      <c r="B203" s="12">
        <f>DATEVALUE(Tabla1[[#This Row],[Columna2]])</f>
        <v>45435</v>
      </c>
      <c r="C203" t="s">
        <v>284</v>
      </c>
      <c r="D203" t="s">
        <v>12</v>
      </c>
      <c r="E203" t="str" cm="1">
        <f t="array" ref="E203">_xlfn.IFS(D203="Eventos particulares","Piloto Junior 1",D203="Federaciones y asociaciones deportivas","Piloto Junior 2",D203="Inspecciones agrícolas","Piloto Senior 1",D203="Inspecciones técnicas","Piloto Senior 2")</f>
        <v>Piloto Junior 1</v>
      </c>
      <c r="F203">
        <v>15.54</v>
      </c>
      <c r="G203" s="1" t="str" cm="1">
        <f t="array" ref="G203">_xlfn.IFS(D203="Eventos particulares","225",D203="Federaciones y asociaciones deportivas","250",D203="Inspecciones agrícolas","275",D203="Inspecciones técnicas","300")</f>
        <v>225</v>
      </c>
      <c r="H203" s="1">
        <f>VALUE(Tabla1[[#This Row],[Columna1]])</f>
        <v>225</v>
      </c>
      <c r="I203" s="1">
        <f t="shared" si="3"/>
        <v>3496.5</v>
      </c>
    </row>
    <row r="204" spans="1:9" x14ac:dyDescent="0.2">
      <c r="A204" s="12" t="s">
        <v>145</v>
      </c>
      <c r="B204" s="12">
        <f>DATEVALUE(Tabla1[[#This Row],[Columna2]])</f>
        <v>45435</v>
      </c>
      <c r="C204" t="s">
        <v>286</v>
      </c>
      <c r="D204" t="s">
        <v>12</v>
      </c>
      <c r="E204" t="str" cm="1">
        <f t="array" ref="E204">_xlfn.IFS(D204="Eventos particulares","Piloto Junior 1",D204="Federaciones y asociaciones deportivas","Piloto Junior 2",D204="Inspecciones agrícolas","Piloto Senior 1",D204="Inspecciones técnicas","Piloto Senior 2")</f>
        <v>Piloto Junior 1</v>
      </c>
      <c r="F204">
        <v>4.5199999999999996</v>
      </c>
      <c r="G204" s="1" t="str" cm="1">
        <f t="array" ref="G204">_xlfn.IFS(D204="Eventos particulares","225",D204="Federaciones y asociaciones deportivas","250",D204="Inspecciones agrícolas","275",D204="Inspecciones técnicas","300")</f>
        <v>225</v>
      </c>
      <c r="H204" s="1">
        <f>VALUE(Tabla1[[#This Row],[Columna1]])</f>
        <v>225</v>
      </c>
      <c r="I204" s="1">
        <f t="shared" si="3"/>
        <v>1016.9999999999999</v>
      </c>
    </row>
    <row r="205" spans="1:9" x14ac:dyDescent="0.2">
      <c r="A205" s="12" t="s">
        <v>204</v>
      </c>
      <c r="B205" s="12">
        <f>DATEVALUE(Tabla1[[#This Row],[Columna2]])</f>
        <v>45436</v>
      </c>
      <c r="C205" t="s">
        <v>285</v>
      </c>
      <c r="D205" t="s">
        <v>12</v>
      </c>
      <c r="E205" t="str" cm="1">
        <f t="array" ref="E205">_xlfn.IFS(D205="Eventos particulares","Piloto Junior 1",D205="Federaciones y asociaciones deportivas","Piloto Junior 2",D205="Inspecciones agrícolas","Piloto Senior 1",D205="Inspecciones técnicas","Piloto Senior 2")</f>
        <v>Piloto Junior 1</v>
      </c>
      <c r="F205">
        <v>8.83</v>
      </c>
      <c r="G205" s="1" t="str" cm="1">
        <f t="array" ref="G205">_xlfn.IFS(D205="Eventos particulares","225",D205="Federaciones y asociaciones deportivas","250",D205="Inspecciones agrícolas","275",D205="Inspecciones técnicas","300")</f>
        <v>225</v>
      </c>
      <c r="H205" s="1">
        <f>VALUE(Tabla1[[#This Row],[Columna1]])</f>
        <v>225</v>
      </c>
      <c r="I205" s="1">
        <f t="shared" si="3"/>
        <v>1986.75</v>
      </c>
    </row>
    <row r="206" spans="1:9" x14ac:dyDescent="0.2">
      <c r="A206" s="12" t="s">
        <v>204</v>
      </c>
      <c r="B206" s="12">
        <f>DATEVALUE(Tabla1[[#This Row],[Columna2]])</f>
        <v>45436</v>
      </c>
      <c r="C206" t="s">
        <v>286</v>
      </c>
      <c r="D206" t="s">
        <v>6</v>
      </c>
      <c r="E206" t="str" cm="1">
        <f t="array" ref="E206">_xlfn.IFS(D206="Eventos particulares","Piloto Junior 1",D206="Federaciones y asociaciones deportivas","Piloto Junior 2",D206="Inspecciones agrícolas","Piloto Senior 1",D206="Inspecciones técnicas","Piloto Senior 2")</f>
        <v>Piloto Junior 2</v>
      </c>
      <c r="F206">
        <v>14.65</v>
      </c>
      <c r="G206" s="1" t="str" cm="1">
        <f t="array" ref="G206">_xlfn.IFS(D206="Eventos particulares","225",D206="Federaciones y asociaciones deportivas","250",D206="Inspecciones agrícolas","275",D206="Inspecciones técnicas","300")</f>
        <v>250</v>
      </c>
      <c r="H206" s="1">
        <f>VALUE(Tabla1[[#This Row],[Columna1]])</f>
        <v>250</v>
      </c>
      <c r="I206" s="1">
        <f t="shared" si="3"/>
        <v>3662.5</v>
      </c>
    </row>
    <row r="207" spans="1:9" x14ac:dyDescent="0.2">
      <c r="A207" s="12" t="s">
        <v>41</v>
      </c>
      <c r="B207" s="12">
        <f>DATEVALUE(Tabla1[[#This Row],[Columna2]])</f>
        <v>45438</v>
      </c>
      <c r="C207" t="s">
        <v>284</v>
      </c>
      <c r="D207" t="s">
        <v>4</v>
      </c>
      <c r="E207" t="str" cm="1">
        <f t="array" ref="E207">_xlfn.IFS(D207="Eventos particulares","Piloto Junior 1",D207="Federaciones y asociaciones deportivas","Piloto Junior 2",D207="Inspecciones agrícolas","Piloto Senior 1",D207="Inspecciones técnicas","Piloto Senior 2")</f>
        <v>Piloto Senior 2</v>
      </c>
      <c r="F207">
        <v>15.99</v>
      </c>
      <c r="G207" s="1" t="str" cm="1">
        <f t="array" ref="G207">_xlfn.IFS(D207="Eventos particulares","225",D207="Federaciones y asociaciones deportivas","250",D207="Inspecciones agrícolas","275",D207="Inspecciones técnicas","300")</f>
        <v>300</v>
      </c>
      <c r="H207" s="1">
        <f>VALUE(Tabla1[[#This Row],[Columna1]])</f>
        <v>300</v>
      </c>
      <c r="I207" s="1">
        <f t="shared" si="3"/>
        <v>4797</v>
      </c>
    </row>
    <row r="208" spans="1:9" x14ac:dyDescent="0.2">
      <c r="A208" s="12" t="s">
        <v>41</v>
      </c>
      <c r="B208" s="12">
        <f>DATEVALUE(Tabla1[[#This Row],[Columna2]])</f>
        <v>45438</v>
      </c>
      <c r="C208" t="s">
        <v>285</v>
      </c>
      <c r="D208" t="s">
        <v>4</v>
      </c>
      <c r="E208" t="str" cm="1">
        <f t="array" ref="E208">_xlfn.IFS(D208="Eventos particulares","Piloto Junior 1",D208="Federaciones y asociaciones deportivas","Piloto Junior 2",D208="Inspecciones agrícolas","Piloto Senior 1",D208="Inspecciones técnicas","Piloto Senior 2")</f>
        <v>Piloto Senior 2</v>
      </c>
      <c r="F208">
        <v>10.039999999999999</v>
      </c>
      <c r="G208" s="1" t="str" cm="1">
        <f t="array" ref="G208">_xlfn.IFS(D208="Eventos particulares","225",D208="Federaciones y asociaciones deportivas","250",D208="Inspecciones agrícolas","275",D208="Inspecciones técnicas","300")</f>
        <v>300</v>
      </c>
      <c r="H208" s="1">
        <f>VALUE(Tabla1[[#This Row],[Columna1]])</f>
        <v>300</v>
      </c>
      <c r="I208" s="1">
        <f t="shared" si="3"/>
        <v>3011.9999999999995</v>
      </c>
    </row>
    <row r="209" spans="1:9" x14ac:dyDescent="0.2">
      <c r="A209" s="12" t="s">
        <v>41</v>
      </c>
      <c r="B209" s="12">
        <f>DATEVALUE(Tabla1[[#This Row],[Columna2]])</f>
        <v>45438</v>
      </c>
      <c r="C209" t="s">
        <v>286</v>
      </c>
      <c r="D209" t="s">
        <v>4</v>
      </c>
      <c r="E209" t="str" cm="1">
        <f t="array" ref="E209">_xlfn.IFS(D209="Eventos particulares","Piloto Junior 1",D209="Federaciones y asociaciones deportivas","Piloto Junior 2",D209="Inspecciones agrícolas","Piloto Senior 1",D209="Inspecciones técnicas","Piloto Senior 2")</f>
        <v>Piloto Senior 2</v>
      </c>
      <c r="F209">
        <v>5.68</v>
      </c>
      <c r="G209" s="1" t="str" cm="1">
        <f t="array" ref="G209">_xlfn.IFS(D209="Eventos particulares","225",D209="Federaciones y asociaciones deportivas","250",D209="Inspecciones agrícolas","275",D209="Inspecciones técnicas","300")</f>
        <v>300</v>
      </c>
      <c r="H209" s="1">
        <f>VALUE(Tabla1[[#This Row],[Columna1]])</f>
        <v>300</v>
      </c>
      <c r="I209" s="1">
        <f t="shared" si="3"/>
        <v>1704</v>
      </c>
    </row>
    <row r="210" spans="1:9" x14ac:dyDescent="0.2">
      <c r="A210" s="12" t="s">
        <v>116</v>
      </c>
      <c r="B210" s="12">
        <f>DATEVALUE(Tabla1[[#This Row],[Columna2]])</f>
        <v>45440</v>
      </c>
      <c r="C210" t="s">
        <v>284</v>
      </c>
      <c r="D210" t="s">
        <v>12</v>
      </c>
      <c r="E210" t="str" cm="1">
        <f t="array" ref="E210">_xlfn.IFS(D210="Eventos particulares","Piloto Junior 1",D210="Federaciones y asociaciones deportivas","Piloto Junior 2",D210="Inspecciones agrícolas","Piloto Senior 1",D210="Inspecciones técnicas","Piloto Senior 2")</f>
        <v>Piloto Junior 1</v>
      </c>
      <c r="F210">
        <v>11.55</v>
      </c>
      <c r="G210" s="1" t="str" cm="1">
        <f t="array" ref="G210">_xlfn.IFS(D210="Eventos particulares","225",D210="Federaciones y asociaciones deportivas","250",D210="Inspecciones agrícolas","275",D210="Inspecciones técnicas","300")</f>
        <v>225</v>
      </c>
      <c r="H210" s="1">
        <f>VALUE(Tabla1[[#This Row],[Columna1]])</f>
        <v>225</v>
      </c>
      <c r="I210" s="1">
        <f t="shared" si="3"/>
        <v>2598.75</v>
      </c>
    </row>
    <row r="211" spans="1:9" x14ac:dyDescent="0.2">
      <c r="A211" s="12" t="s">
        <v>212</v>
      </c>
      <c r="B211" s="12">
        <f>DATEVALUE(Tabla1[[#This Row],[Columna2]])</f>
        <v>45443</v>
      </c>
      <c r="C211" t="s">
        <v>285</v>
      </c>
      <c r="D211" t="s">
        <v>4</v>
      </c>
      <c r="E211" t="str" cm="1">
        <f t="array" ref="E211">_xlfn.IFS(D211="Eventos particulares","Piloto Junior 1",D211="Federaciones y asociaciones deportivas","Piloto Junior 2",D211="Inspecciones agrícolas","Piloto Senior 1",D211="Inspecciones técnicas","Piloto Senior 2")</f>
        <v>Piloto Senior 2</v>
      </c>
      <c r="F211">
        <v>5.92</v>
      </c>
      <c r="G211" s="1" t="str" cm="1">
        <f t="array" ref="G211">_xlfn.IFS(D211="Eventos particulares","225",D211="Federaciones y asociaciones deportivas","250",D211="Inspecciones agrícolas","275",D211="Inspecciones técnicas","300")</f>
        <v>300</v>
      </c>
      <c r="H211" s="1">
        <f>VALUE(Tabla1[[#This Row],[Columna1]])</f>
        <v>300</v>
      </c>
      <c r="I211" s="1">
        <f t="shared" si="3"/>
        <v>1776</v>
      </c>
    </row>
    <row r="212" spans="1:9" x14ac:dyDescent="0.2">
      <c r="A212" s="12" t="s">
        <v>212</v>
      </c>
      <c r="B212" s="12">
        <f>DATEVALUE(Tabla1[[#This Row],[Columna2]])</f>
        <v>45443</v>
      </c>
      <c r="C212" t="s">
        <v>285</v>
      </c>
      <c r="D212" t="s">
        <v>12</v>
      </c>
      <c r="E212" t="str" cm="1">
        <f t="array" ref="E212">_xlfn.IFS(D212="Eventos particulares","Piloto Junior 1",D212="Federaciones y asociaciones deportivas","Piloto Junior 2",D212="Inspecciones agrícolas","Piloto Senior 1",D212="Inspecciones técnicas","Piloto Senior 2")</f>
        <v>Piloto Junior 1</v>
      </c>
      <c r="F212">
        <v>9.5299999999999994</v>
      </c>
      <c r="G212" s="1" t="str" cm="1">
        <f t="array" ref="G212">_xlfn.IFS(D212="Eventos particulares","225",D212="Federaciones y asociaciones deportivas","250",D212="Inspecciones agrícolas","275",D212="Inspecciones técnicas","300")</f>
        <v>225</v>
      </c>
      <c r="H212" s="1">
        <f>VALUE(Tabla1[[#This Row],[Columna1]])</f>
        <v>225</v>
      </c>
      <c r="I212" s="1">
        <f t="shared" si="3"/>
        <v>2144.25</v>
      </c>
    </row>
    <row r="213" spans="1:9" x14ac:dyDescent="0.2">
      <c r="A213" s="12" t="s">
        <v>212</v>
      </c>
      <c r="B213" s="12">
        <f>DATEVALUE(Tabla1[[#This Row],[Columna2]])</f>
        <v>45443</v>
      </c>
      <c r="C213" t="s">
        <v>285</v>
      </c>
      <c r="D213" t="s">
        <v>4</v>
      </c>
      <c r="E213" t="str" cm="1">
        <f t="array" ref="E213">_xlfn.IFS(D213="Eventos particulares","Piloto Junior 1",D213="Federaciones y asociaciones deportivas","Piloto Junior 2",D213="Inspecciones agrícolas","Piloto Senior 1",D213="Inspecciones técnicas","Piloto Senior 2")</f>
        <v>Piloto Senior 2</v>
      </c>
      <c r="F213">
        <v>10.09</v>
      </c>
      <c r="G213" s="1" t="str" cm="1">
        <f t="array" ref="G213">_xlfn.IFS(D213="Eventos particulares","225",D213="Federaciones y asociaciones deportivas","250",D213="Inspecciones agrícolas","275",D213="Inspecciones técnicas","300")</f>
        <v>300</v>
      </c>
      <c r="H213" s="1">
        <f>VALUE(Tabla1[[#This Row],[Columna1]])</f>
        <v>300</v>
      </c>
      <c r="I213" s="1">
        <f t="shared" si="3"/>
        <v>3027</v>
      </c>
    </row>
    <row r="214" spans="1:9" x14ac:dyDescent="0.2">
      <c r="A214" s="12" t="s">
        <v>117</v>
      </c>
      <c r="B214" s="12">
        <f>DATEVALUE(Tabla1[[#This Row],[Columna2]])</f>
        <v>45444</v>
      </c>
      <c r="C214" t="s">
        <v>284</v>
      </c>
      <c r="D214" t="s">
        <v>4</v>
      </c>
      <c r="E214" t="str" cm="1">
        <f t="array" ref="E214">_xlfn.IFS(D214="Eventos particulares","Piloto Junior 1",D214="Federaciones y asociaciones deportivas","Piloto Junior 2",D214="Inspecciones agrícolas","Piloto Senior 1",D214="Inspecciones técnicas","Piloto Senior 2")</f>
        <v>Piloto Senior 2</v>
      </c>
      <c r="F214">
        <v>11.63</v>
      </c>
      <c r="G214" s="1" t="str" cm="1">
        <f t="array" ref="G214">_xlfn.IFS(D214="Eventos particulares","225",D214="Federaciones y asociaciones deportivas","250",D214="Inspecciones agrícolas","275",D214="Inspecciones técnicas","300")</f>
        <v>300</v>
      </c>
      <c r="H214" s="1">
        <f>VALUE(Tabla1[[#This Row],[Columna1]])</f>
        <v>300</v>
      </c>
      <c r="I214" s="1">
        <f t="shared" si="3"/>
        <v>3489.0000000000005</v>
      </c>
    </row>
    <row r="215" spans="1:9" x14ac:dyDescent="0.2">
      <c r="A215" s="12" t="s">
        <v>117</v>
      </c>
      <c r="B215" s="12">
        <f>DATEVALUE(Tabla1[[#This Row],[Columna2]])</f>
        <v>45444</v>
      </c>
      <c r="C215" t="s">
        <v>285</v>
      </c>
      <c r="D215" t="s">
        <v>17</v>
      </c>
      <c r="E215" t="str" cm="1">
        <f t="array" ref="E215">_xlfn.IFS(D215="Eventos particulares","Piloto Junior 1",D215="Federaciones y asociaciones deportivas","Piloto Junior 2",D215="Inspecciones agrícolas","Piloto Senior 1",D215="Inspecciones técnicas","Piloto Senior 2")</f>
        <v>Piloto Senior 1</v>
      </c>
      <c r="F215">
        <v>13.59</v>
      </c>
      <c r="G215" s="1" t="str" cm="1">
        <f t="array" ref="G215">_xlfn.IFS(D215="Eventos particulares","225",D215="Federaciones y asociaciones deportivas","250",D215="Inspecciones agrícolas","275",D215="Inspecciones técnicas","300")</f>
        <v>275</v>
      </c>
      <c r="H215" s="1">
        <f>VALUE(Tabla1[[#This Row],[Columna1]])</f>
        <v>275</v>
      </c>
      <c r="I215" s="1">
        <f t="shared" si="3"/>
        <v>3737.25</v>
      </c>
    </row>
    <row r="216" spans="1:9" x14ac:dyDescent="0.2">
      <c r="A216" s="12" t="s">
        <v>114</v>
      </c>
      <c r="B216" s="12">
        <f>DATEVALUE(Tabla1[[#This Row],[Columna2]])</f>
        <v>45445</v>
      </c>
      <c r="C216" t="s">
        <v>284</v>
      </c>
      <c r="D216" t="s">
        <v>4</v>
      </c>
      <c r="E216" t="str" cm="1">
        <f t="array" ref="E216">_xlfn.IFS(D216="Eventos particulares","Piloto Junior 1",D216="Federaciones y asociaciones deportivas","Piloto Junior 2",D216="Inspecciones agrícolas","Piloto Senior 1",D216="Inspecciones técnicas","Piloto Senior 2")</f>
        <v>Piloto Senior 2</v>
      </c>
      <c r="F216">
        <v>9.24</v>
      </c>
      <c r="G216" s="1" t="str" cm="1">
        <f t="array" ref="G216">_xlfn.IFS(D216="Eventos particulares","225",D216="Federaciones y asociaciones deportivas","250",D216="Inspecciones agrícolas","275",D216="Inspecciones técnicas","300")</f>
        <v>300</v>
      </c>
      <c r="H216" s="1">
        <f>VALUE(Tabla1[[#This Row],[Columna1]])</f>
        <v>300</v>
      </c>
      <c r="I216" s="1">
        <f t="shared" si="3"/>
        <v>2772</v>
      </c>
    </row>
    <row r="217" spans="1:9" x14ac:dyDescent="0.2">
      <c r="A217" s="12" t="s">
        <v>114</v>
      </c>
      <c r="B217" s="12">
        <f>DATEVALUE(Tabla1[[#This Row],[Columna2]])</f>
        <v>45445</v>
      </c>
      <c r="C217" t="s">
        <v>287</v>
      </c>
      <c r="D217" t="s">
        <v>12</v>
      </c>
      <c r="E217" t="str" cm="1">
        <f t="array" ref="E217">_xlfn.IFS(D217="Eventos particulares","Piloto Junior 1",D217="Federaciones y asociaciones deportivas","Piloto Junior 2",D217="Inspecciones agrícolas","Piloto Senior 1",D217="Inspecciones técnicas","Piloto Senior 2")</f>
        <v>Piloto Junior 1</v>
      </c>
      <c r="F217">
        <v>9.74</v>
      </c>
      <c r="G217" s="1" t="str" cm="1">
        <f t="array" ref="G217">_xlfn.IFS(D217="Eventos particulares","225",D217="Federaciones y asociaciones deportivas","250",D217="Inspecciones agrícolas","275",D217="Inspecciones técnicas","300")</f>
        <v>225</v>
      </c>
      <c r="H217" s="1">
        <f>VALUE(Tabla1[[#This Row],[Columna1]])</f>
        <v>225</v>
      </c>
      <c r="I217" s="1">
        <f t="shared" si="3"/>
        <v>2191.5</v>
      </c>
    </row>
    <row r="218" spans="1:9" x14ac:dyDescent="0.2">
      <c r="A218" s="12" t="s">
        <v>180</v>
      </c>
      <c r="B218" s="12">
        <f>DATEVALUE(Tabla1[[#This Row],[Columna2]])</f>
        <v>45448</v>
      </c>
      <c r="C218" t="s">
        <v>285</v>
      </c>
      <c r="D218" t="s">
        <v>12</v>
      </c>
      <c r="E218" t="str" cm="1">
        <f t="array" ref="E218">_xlfn.IFS(D218="Eventos particulares","Piloto Junior 1",D218="Federaciones y asociaciones deportivas","Piloto Junior 2",D218="Inspecciones agrícolas","Piloto Senior 1",D218="Inspecciones técnicas","Piloto Senior 2")</f>
        <v>Piloto Junior 1</v>
      </c>
      <c r="F218">
        <v>10.199999999999999</v>
      </c>
      <c r="G218" s="1" t="str" cm="1">
        <f t="array" ref="G218">_xlfn.IFS(D218="Eventos particulares","225",D218="Federaciones y asociaciones deportivas","250",D218="Inspecciones agrícolas","275",D218="Inspecciones técnicas","300")</f>
        <v>225</v>
      </c>
      <c r="H218" s="1">
        <f>VALUE(Tabla1[[#This Row],[Columna1]])</f>
        <v>225</v>
      </c>
      <c r="I218" s="1">
        <f t="shared" si="3"/>
        <v>2295</v>
      </c>
    </row>
    <row r="219" spans="1:9" x14ac:dyDescent="0.2">
      <c r="A219" s="12" t="s">
        <v>106</v>
      </c>
      <c r="B219" s="12">
        <f>DATEVALUE(Tabla1[[#This Row],[Columna2]])</f>
        <v>45451</v>
      </c>
      <c r="C219" t="s">
        <v>284</v>
      </c>
      <c r="D219" t="s">
        <v>12</v>
      </c>
      <c r="E219" t="str" cm="1">
        <f t="array" ref="E219">_xlfn.IFS(D219="Eventos particulares","Piloto Junior 1",D219="Federaciones y asociaciones deportivas","Piloto Junior 2",D219="Inspecciones agrícolas","Piloto Senior 1",D219="Inspecciones técnicas","Piloto Senior 2")</f>
        <v>Piloto Junior 1</v>
      </c>
      <c r="F219">
        <v>15.62</v>
      </c>
      <c r="G219" s="1" t="str" cm="1">
        <f t="array" ref="G219">_xlfn.IFS(D219="Eventos particulares","225",D219="Federaciones y asociaciones deportivas","250",D219="Inspecciones agrícolas","275",D219="Inspecciones técnicas","300")</f>
        <v>225</v>
      </c>
      <c r="H219" s="1">
        <f>VALUE(Tabla1[[#This Row],[Columna1]])</f>
        <v>225</v>
      </c>
      <c r="I219" s="1">
        <f t="shared" si="3"/>
        <v>3514.5</v>
      </c>
    </row>
    <row r="220" spans="1:9" x14ac:dyDescent="0.2">
      <c r="A220" s="12" t="s">
        <v>30</v>
      </c>
      <c r="B220" s="12">
        <f>DATEVALUE(Tabla1[[#This Row],[Columna2]])</f>
        <v>45452</v>
      </c>
      <c r="C220" t="s">
        <v>284</v>
      </c>
      <c r="D220" t="s">
        <v>4</v>
      </c>
      <c r="E220" t="str" cm="1">
        <f t="array" ref="E220">_xlfn.IFS(D220="Eventos particulares","Piloto Junior 1",D220="Federaciones y asociaciones deportivas","Piloto Junior 2",D220="Inspecciones agrícolas","Piloto Senior 1",D220="Inspecciones técnicas","Piloto Senior 2")</f>
        <v>Piloto Senior 2</v>
      </c>
      <c r="F220">
        <v>6.62</v>
      </c>
      <c r="G220" s="1" t="str" cm="1">
        <f t="array" ref="G220">_xlfn.IFS(D220="Eventos particulares","225",D220="Federaciones y asociaciones deportivas","250",D220="Inspecciones agrícolas","275",D220="Inspecciones técnicas","300")</f>
        <v>300</v>
      </c>
      <c r="H220" s="1">
        <f>VALUE(Tabla1[[#This Row],[Columna1]])</f>
        <v>300</v>
      </c>
      <c r="I220" s="1">
        <f t="shared" si="3"/>
        <v>1986</v>
      </c>
    </row>
    <row r="221" spans="1:9" x14ac:dyDescent="0.2">
      <c r="A221" s="12" t="s">
        <v>167</v>
      </c>
      <c r="B221" s="12">
        <f>DATEVALUE(Tabla1[[#This Row],[Columna2]])</f>
        <v>45453</v>
      </c>
      <c r="C221" t="s">
        <v>285</v>
      </c>
      <c r="D221" t="s">
        <v>17</v>
      </c>
      <c r="E221" t="str" cm="1">
        <f t="array" ref="E221">_xlfn.IFS(D221="Eventos particulares","Piloto Junior 1",D221="Federaciones y asociaciones deportivas","Piloto Junior 2",D221="Inspecciones agrícolas","Piloto Senior 1",D221="Inspecciones técnicas","Piloto Senior 2")</f>
        <v>Piloto Senior 1</v>
      </c>
      <c r="F221">
        <v>10.34</v>
      </c>
      <c r="G221" s="1" t="str" cm="1">
        <f t="array" ref="G221">_xlfn.IFS(D221="Eventos particulares","225",D221="Federaciones y asociaciones deportivas","250",D221="Inspecciones agrícolas","275",D221="Inspecciones técnicas","300")</f>
        <v>275</v>
      </c>
      <c r="H221" s="1">
        <f>VALUE(Tabla1[[#This Row],[Columna1]])</f>
        <v>275</v>
      </c>
      <c r="I221" s="1">
        <f t="shared" si="3"/>
        <v>2843.5</v>
      </c>
    </row>
    <row r="222" spans="1:9" x14ac:dyDescent="0.2">
      <c r="A222" s="12" t="s">
        <v>167</v>
      </c>
      <c r="B222" s="12">
        <f>DATEVALUE(Tabla1[[#This Row],[Columna2]])</f>
        <v>45453</v>
      </c>
      <c r="C222" t="s">
        <v>285</v>
      </c>
      <c r="D222" t="s">
        <v>4</v>
      </c>
      <c r="E222" t="str" cm="1">
        <f t="array" ref="E222">_xlfn.IFS(D222="Eventos particulares","Piloto Junior 1",D222="Federaciones y asociaciones deportivas","Piloto Junior 2",D222="Inspecciones agrícolas","Piloto Senior 1",D222="Inspecciones técnicas","Piloto Senior 2")</f>
        <v>Piloto Senior 2</v>
      </c>
      <c r="F222">
        <v>4.21</v>
      </c>
      <c r="G222" s="1" t="str" cm="1">
        <f t="array" ref="G222">_xlfn.IFS(D222="Eventos particulares","225",D222="Federaciones y asociaciones deportivas","250",D222="Inspecciones agrícolas","275",D222="Inspecciones técnicas","300")</f>
        <v>300</v>
      </c>
      <c r="H222" s="1">
        <f>VALUE(Tabla1[[#This Row],[Columna1]])</f>
        <v>300</v>
      </c>
      <c r="I222" s="1">
        <f t="shared" si="3"/>
        <v>1263</v>
      </c>
    </row>
    <row r="223" spans="1:9" x14ac:dyDescent="0.2">
      <c r="A223" s="12" t="s">
        <v>225</v>
      </c>
      <c r="B223" s="12">
        <f>DATEVALUE(Tabla1[[#This Row],[Columna2]])</f>
        <v>45454</v>
      </c>
      <c r="C223" t="s">
        <v>286</v>
      </c>
      <c r="D223" t="s">
        <v>6</v>
      </c>
      <c r="E223" t="str" cm="1">
        <f t="array" ref="E223">_xlfn.IFS(D223="Eventos particulares","Piloto Junior 1",D223="Federaciones y asociaciones deportivas","Piloto Junior 2",D223="Inspecciones agrícolas","Piloto Senior 1",D223="Inspecciones técnicas","Piloto Senior 2")</f>
        <v>Piloto Junior 2</v>
      </c>
      <c r="F223">
        <v>5.98</v>
      </c>
      <c r="G223" s="1" t="str" cm="1">
        <f t="array" ref="G223">_xlfn.IFS(D223="Eventos particulares","225",D223="Federaciones y asociaciones deportivas","250",D223="Inspecciones agrícolas","275",D223="Inspecciones técnicas","300")</f>
        <v>250</v>
      </c>
      <c r="H223" s="1">
        <f>VALUE(Tabla1[[#This Row],[Columna1]])</f>
        <v>250</v>
      </c>
      <c r="I223" s="1">
        <f t="shared" si="3"/>
        <v>1495</v>
      </c>
    </row>
    <row r="224" spans="1:9" x14ac:dyDescent="0.2">
      <c r="A224" s="12" t="s">
        <v>225</v>
      </c>
      <c r="B224" s="12">
        <f>DATEVALUE(Tabla1[[#This Row],[Columna2]])</f>
        <v>45454</v>
      </c>
      <c r="C224" t="s">
        <v>287</v>
      </c>
      <c r="D224" t="s">
        <v>17</v>
      </c>
      <c r="E224" t="str" cm="1">
        <f t="array" ref="E224">_xlfn.IFS(D224="Eventos particulares","Piloto Junior 1",D224="Federaciones y asociaciones deportivas","Piloto Junior 2",D224="Inspecciones agrícolas","Piloto Senior 1",D224="Inspecciones técnicas","Piloto Senior 2")</f>
        <v>Piloto Senior 1</v>
      </c>
      <c r="F224">
        <v>14.36</v>
      </c>
      <c r="G224" s="1" t="str" cm="1">
        <f t="array" ref="G224">_xlfn.IFS(D224="Eventos particulares","225",D224="Federaciones y asociaciones deportivas","250",D224="Inspecciones agrícolas","275",D224="Inspecciones técnicas","300")</f>
        <v>275</v>
      </c>
      <c r="H224" s="1">
        <f>VALUE(Tabla1[[#This Row],[Columna1]])</f>
        <v>275</v>
      </c>
      <c r="I224" s="1">
        <f t="shared" si="3"/>
        <v>3949</v>
      </c>
    </row>
    <row r="225" spans="1:9" x14ac:dyDescent="0.2">
      <c r="A225" s="12" t="s">
        <v>95</v>
      </c>
      <c r="B225" s="12">
        <f>DATEVALUE(Tabla1[[#This Row],[Columna2]])</f>
        <v>45455</v>
      </c>
      <c r="C225" t="s">
        <v>284</v>
      </c>
      <c r="D225" t="s">
        <v>6</v>
      </c>
      <c r="E225" t="str" cm="1">
        <f t="array" ref="E225">_xlfn.IFS(D225="Eventos particulares","Piloto Junior 1",D225="Federaciones y asociaciones deportivas","Piloto Junior 2",D225="Inspecciones agrícolas","Piloto Senior 1",D225="Inspecciones técnicas","Piloto Senior 2")</f>
        <v>Piloto Junior 2</v>
      </c>
      <c r="F225">
        <v>9.75</v>
      </c>
      <c r="G225" s="1" t="str" cm="1">
        <f t="array" ref="G225">_xlfn.IFS(D225="Eventos particulares","225",D225="Federaciones y asociaciones deportivas","250",D225="Inspecciones agrícolas","275",D225="Inspecciones técnicas","300")</f>
        <v>250</v>
      </c>
      <c r="H225" s="1">
        <f>VALUE(Tabla1[[#This Row],[Columna1]])</f>
        <v>250</v>
      </c>
      <c r="I225" s="1">
        <f t="shared" si="3"/>
        <v>2437.5</v>
      </c>
    </row>
    <row r="226" spans="1:9" x14ac:dyDescent="0.2">
      <c r="A226" s="12" t="s">
        <v>95</v>
      </c>
      <c r="B226" s="12">
        <f>DATEVALUE(Tabla1[[#This Row],[Columna2]])</f>
        <v>45455</v>
      </c>
      <c r="C226" t="s">
        <v>284</v>
      </c>
      <c r="D226" t="s">
        <v>12</v>
      </c>
      <c r="E226" t="str" cm="1">
        <f t="array" ref="E226">_xlfn.IFS(D226="Eventos particulares","Piloto Junior 1",D226="Federaciones y asociaciones deportivas","Piloto Junior 2",D226="Inspecciones agrícolas","Piloto Senior 1",D226="Inspecciones técnicas","Piloto Senior 2")</f>
        <v>Piloto Junior 1</v>
      </c>
      <c r="F226">
        <v>9.42</v>
      </c>
      <c r="G226" s="1" t="str" cm="1">
        <f t="array" ref="G226">_xlfn.IFS(D226="Eventos particulares","225",D226="Federaciones y asociaciones deportivas","250",D226="Inspecciones agrícolas","275",D226="Inspecciones técnicas","300")</f>
        <v>225</v>
      </c>
      <c r="H226" s="1">
        <f>VALUE(Tabla1[[#This Row],[Columna1]])</f>
        <v>225</v>
      </c>
      <c r="I226" s="1">
        <f t="shared" si="3"/>
        <v>2119.5</v>
      </c>
    </row>
    <row r="227" spans="1:9" x14ac:dyDescent="0.2">
      <c r="A227" s="12" t="s">
        <v>95</v>
      </c>
      <c r="B227" s="12">
        <f>DATEVALUE(Tabla1[[#This Row],[Columna2]])</f>
        <v>45455</v>
      </c>
      <c r="C227" t="s">
        <v>285</v>
      </c>
      <c r="D227" t="s">
        <v>4</v>
      </c>
      <c r="E227" t="str" cm="1">
        <f t="array" ref="E227">_xlfn.IFS(D227="Eventos particulares","Piloto Junior 1",D227="Federaciones y asociaciones deportivas","Piloto Junior 2",D227="Inspecciones agrícolas","Piloto Senior 1",D227="Inspecciones técnicas","Piloto Senior 2")</f>
        <v>Piloto Senior 2</v>
      </c>
      <c r="F227">
        <v>7.13</v>
      </c>
      <c r="G227" s="1" t="str" cm="1">
        <f t="array" ref="G227">_xlfn.IFS(D227="Eventos particulares","225",D227="Federaciones y asociaciones deportivas","250",D227="Inspecciones agrícolas","275",D227="Inspecciones técnicas","300")</f>
        <v>300</v>
      </c>
      <c r="H227" s="1">
        <f>VALUE(Tabla1[[#This Row],[Columna1]])</f>
        <v>300</v>
      </c>
      <c r="I227" s="1">
        <f t="shared" si="3"/>
        <v>2139</v>
      </c>
    </row>
    <row r="228" spans="1:9" x14ac:dyDescent="0.2">
      <c r="A228" s="12" t="s">
        <v>95</v>
      </c>
      <c r="B228" s="12">
        <f>DATEVALUE(Tabla1[[#This Row],[Columna2]])</f>
        <v>45455</v>
      </c>
      <c r="C228" t="s">
        <v>285</v>
      </c>
      <c r="D228" t="s">
        <v>17</v>
      </c>
      <c r="E228" t="str" cm="1">
        <f t="array" ref="E228">_xlfn.IFS(D228="Eventos particulares","Piloto Junior 1",D228="Federaciones y asociaciones deportivas","Piloto Junior 2",D228="Inspecciones agrícolas","Piloto Senior 1",D228="Inspecciones técnicas","Piloto Senior 2")</f>
        <v>Piloto Senior 1</v>
      </c>
      <c r="F228">
        <v>12.48</v>
      </c>
      <c r="G228" s="1" t="str" cm="1">
        <f t="array" ref="G228">_xlfn.IFS(D228="Eventos particulares","225",D228="Federaciones y asociaciones deportivas","250",D228="Inspecciones agrícolas","275",D228="Inspecciones técnicas","300")</f>
        <v>275</v>
      </c>
      <c r="H228" s="1">
        <f>VALUE(Tabla1[[#This Row],[Columna1]])</f>
        <v>275</v>
      </c>
      <c r="I228" s="1">
        <f t="shared" si="3"/>
        <v>3432</v>
      </c>
    </row>
    <row r="229" spans="1:9" x14ac:dyDescent="0.2">
      <c r="A229" s="12" t="s">
        <v>236</v>
      </c>
      <c r="B229" s="12">
        <f>DATEVALUE(Tabla1[[#This Row],[Columna2]])</f>
        <v>45456</v>
      </c>
      <c r="C229" t="s">
        <v>286</v>
      </c>
      <c r="D229" t="s">
        <v>12</v>
      </c>
      <c r="E229" t="str" cm="1">
        <f t="array" ref="E229">_xlfn.IFS(D229="Eventos particulares","Piloto Junior 1",D229="Federaciones y asociaciones deportivas","Piloto Junior 2",D229="Inspecciones agrícolas","Piloto Senior 1",D229="Inspecciones técnicas","Piloto Senior 2")</f>
        <v>Piloto Junior 1</v>
      </c>
      <c r="F229">
        <v>12.57</v>
      </c>
      <c r="G229" s="1" t="str" cm="1">
        <f t="array" ref="G229">_xlfn.IFS(D229="Eventos particulares","225",D229="Federaciones y asociaciones deportivas","250",D229="Inspecciones agrícolas","275",D229="Inspecciones técnicas","300")</f>
        <v>225</v>
      </c>
      <c r="H229" s="1">
        <f>VALUE(Tabla1[[#This Row],[Columna1]])</f>
        <v>225</v>
      </c>
      <c r="I229" s="1">
        <f t="shared" si="3"/>
        <v>2828.25</v>
      </c>
    </row>
    <row r="230" spans="1:9" x14ac:dyDescent="0.2">
      <c r="A230" s="12" t="s">
        <v>210</v>
      </c>
      <c r="B230" s="12">
        <f>DATEVALUE(Tabla1[[#This Row],[Columna2]])</f>
        <v>45457</v>
      </c>
      <c r="C230" t="s">
        <v>285</v>
      </c>
      <c r="D230" t="s">
        <v>4</v>
      </c>
      <c r="E230" t="str" cm="1">
        <f t="array" ref="E230">_xlfn.IFS(D230="Eventos particulares","Piloto Junior 1",D230="Federaciones y asociaciones deportivas","Piloto Junior 2",D230="Inspecciones agrícolas","Piloto Senior 1",D230="Inspecciones técnicas","Piloto Senior 2")</f>
        <v>Piloto Senior 2</v>
      </c>
      <c r="F230">
        <v>5.4</v>
      </c>
      <c r="G230" s="1" t="str" cm="1">
        <f t="array" ref="G230">_xlfn.IFS(D230="Eventos particulares","225",D230="Federaciones y asociaciones deportivas","250",D230="Inspecciones agrícolas","275",D230="Inspecciones técnicas","300")</f>
        <v>300</v>
      </c>
      <c r="H230" s="1">
        <f>VALUE(Tabla1[[#This Row],[Columna1]])</f>
        <v>300</v>
      </c>
      <c r="I230" s="1">
        <f t="shared" si="3"/>
        <v>1620</v>
      </c>
    </row>
    <row r="231" spans="1:9" x14ac:dyDescent="0.2">
      <c r="A231" s="12" t="s">
        <v>210</v>
      </c>
      <c r="B231" s="12">
        <f>DATEVALUE(Tabla1[[#This Row],[Columna2]])</f>
        <v>45457</v>
      </c>
      <c r="C231" t="s">
        <v>286</v>
      </c>
      <c r="D231" t="s">
        <v>4</v>
      </c>
      <c r="E231" t="str" cm="1">
        <f t="array" ref="E231">_xlfn.IFS(D231="Eventos particulares","Piloto Junior 1",D231="Federaciones y asociaciones deportivas","Piloto Junior 2",D231="Inspecciones agrícolas","Piloto Senior 1",D231="Inspecciones técnicas","Piloto Senior 2")</f>
        <v>Piloto Senior 2</v>
      </c>
      <c r="F231">
        <v>6.5</v>
      </c>
      <c r="G231" s="1" t="str" cm="1">
        <f t="array" ref="G231">_xlfn.IFS(D231="Eventos particulares","225",D231="Federaciones y asociaciones deportivas","250",D231="Inspecciones agrícolas","275",D231="Inspecciones técnicas","300")</f>
        <v>300</v>
      </c>
      <c r="H231" s="1">
        <f>VALUE(Tabla1[[#This Row],[Columna1]])</f>
        <v>300</v>
      </c>
      <c r="I231" s="1">
        <f t="shared" si="3"/>
        <v>1950</v>
      </c>
    </row>
    <row r="232" spans="1:9" x14ac:dyDescent="0.2">
      <c r="A232" s="12" t="s">
        <v>196</v>
      </c>
      <c r="B232" s="12">
        <f>DATEVALUE(Tabla1[[#This Row],[Columna2]])</f>
        <v>45458</v>
      </c>
      <c r="C232" t="s">
        <v>285</v>
      </c>
      <c r="D232" t="s">
        <v>4</v>
      </c>
      <c r="E232" t="str" cm="1">
        <f t="array" ref="E232">_xlfn.IFS(D232="Eventos particulares","Piloto Junior 1",D232="Federaciones y asociaciones deportivas","Piloto Junior 2",D232="Inspecciones agrícolas","Piloto Senior 1",D232="Inspecciones técnicas","Piloto Senior 2")</f>
        <v>Piloto Senior 2</v>
      </c>
      <c r="F232">
        <v>10.7</v>
      </c>
      <c r="G232" s="1" t="str" cm="1">
        <f t="array" ref="G232">_xlfn.IFS(D232="Eventos particulares","225",D232="Federaciones y asociaciones deportivas","250",D232="Inspecciones agrícolas","275",D232="Inspecciones técnicas","300")</f>
        <v>300</v>
      </c>
      <c r="H232" s="1">
        <f>VALUE(Tabla1[[#This Row],[Columna1]])</f>
        <v>300</v>
      </c>
      <c r="I232" s="1">
        <f t="shared" si="3"/>
        <v>3210</v>
      </c>
    </row>
    <row r="233" spans="1:9" x14ac:dyDescent="0.2">
      <c r="A233" s="12" t="s">
        <v>196</v>
      </c>
      <c r="B233" s="12">
        <f>DATEVALUE(Tabla1[[#This Row],[Columna2]])</f>
        <v>45458</v>
      </c>
      <c r="C233" t="s">
        <v>285</v>
      </c>
      <c r="D233" t="s">
        <v>17</v>
      </c>
      <c r="E233" t="str" cm="1">
        <f t="array" ref="E233">_xlfn.IFS(D233="Eventos particulares","Piloto Junior 1",D233="Federaciones y asociaciones deportivas","Piloto Junior 2",D233="Inspecciones agrícolas","Piloto Senior 1",D233="Inspecciones técnicas","Piloto Senior 2")</f>
        <v>Piloto Senior 1</v>
      </c>
      <c r="F233">
        <v>7.35</v>
      </c>
      <c r="G233" s="1" t="str" cm="1">
        <f t="array" ref="G233">_xlfn.IFS(D233="Eventos particulares","225",D233="Federaciones y asociaciones deportivas","250",D233="Inspecciones agrícolas","275",D233="Inspecciones técnicas","300")</f>
        <v>275</v>
      </c>
      <c r="H233" s="1">
        <f>VALUE(Tabla1[[#This Row],[Columna1]])</f>
        <v>275</v>
      </c>
      <c r="I233" s="1">
        <f t="shared" si="3"/>
        <v>2021.25</v>
      </c>
    </row>
    <row r="234" spans="1:9" x14ac:dyDescent="0.2">
      <c r="A234" s="12" t="s">
        <v>252</v>
      </c>
      <c r="B234" s="12">
        <f>DATEVALUE(Tabla1[[#This Row],[Columna2]])</f>
        <v>45459</v>
      </c>
      <c r="C234" t="s">
        <v>286</v>
      </c>
      <c r="D234" t="s">
        <v>6</v>
      </c>
      <c r="E234" t="str" cm="1">
        <f t="array" ref="E234">_xlfn.IFS(D234="Eventos particulares","Piloto Junior 1",D234="Federaciones y asociaciones deportivas","Piloto Junior 2",D234="Inspecciones agrícolas","Piloto Senior 1",D234="Inspecciones técnicas","Piloto Senior 2")</f>
        <v>Piloto Junior 2</v>
      </c>
      <c r="F234">
        <v>15.51</v>
      </c>
      <c r="G234" s="1" t="str" cm="1">
        <f t="array" ref="G234">_xlfn.IFS(D234="Eventos particulares","225",D234="Federaciones y asociaciones deportivas","250",D234="Inspecciones agrícolas","275",D234="Inspecciones técnicas","300")</f>
        <v>250</v>
      </c>
      <c r="H234" s="1">
        <f>VALUE(Tabla1[[#This Row],[Columna1]])</f>
        <v>250</v>
      </c>
      <c r="I234" s="1">
        <f t="shared" si="3"/>
        <v>3877.5</v>
      </c>
    </row>
    <row r="235" spans="1:9" x14ac:dyDescent="0.2">
      <c r="A235" s="12" t="s">
        <v>81</v>
      </c>
      <c r="B235" s="12">
        <f>DATEVALUE(Tabla1[[#This Row],[Columna2]])</f>
        <v>45460</v>
      </c>
      <c r="C235" t="s">
        <v>284</v>
      </c>
      <c r="D235" t="s">
        <v>4</v>
      </c>
      <c r="E235" t="str" cm="1">
        <f t="array" ref="E235">_xlfn.IFS(D235="Eventos particulares","Piloto Junior 1",D235="Federaciones y asociaciones deportivas","Piloto Junior 2",D235="Inspecciones agrícolas","Piloto Senior 1",D235="Inspecciones técnicas","Piloto Senior 2")</f>
        <v>Piloto Senior 2</v>
      </c>
      <c r="F235">
        <v>14.77</v>
      </c>
      <c r="G235" s="1" t="str" cm="1">
        <f t="array" ref="G235">_xlfn.IFS(D235="Eventos particulares","225",D235="Federaciones y asociaciones deportivas","250",D235="Inspecciones agrícolas","275",D235="Inspecciones técnicas","300")</f>
        <v>300</v>
      </c>
      <c r="H235" s="1">
        <f>VALUE(Tabla1[[#This Row],[Columna1]])</f>
        <v>300</v>
      </c>
      <c r="I235" s="1">
        <f t="shared" si="3"/>
        <v>4431</v>
      </c>
    </row>
    <row r="236" spans="1:9" x14ac:dyDescent="0.2">
      <c r="A236" s="12" t="s">
        <v>81</v>
      </c>
      <c r="B236" s="12">
        <f>DATEVALUE(Tabla1[[#This Row],[Columna2]])</f>
        <v>45460</v>
      </c>
      <c r="C236" t="s">
        <v>285</v>
      </c>
      <c r="D236" t="s">
        <v>4</v>
      </c>
      <c r="E236" t="str" cm="1">
        <f t="array" ref="E236">_xlfn.IFS(D236="Eventos particulares","Piloto Junior 1",D236="Federaciones y asociaciones deportivas","Piloto Junior 2",D236="Inspecciones agrícolas","Piloto Senior 1",D236="Inspecciones técnicas","Piloto Senior 2")</f>
        <v>Piloto Senior 2</v>
      </c>
      <c r="F236">
        <v>15.76</v>
      </c>
      <c r="G236" s="1" t="str" cm="1">
        <f t="array" ref="G236">_xlfn.IFS(D236="Eventos particulares","225",D236="Federaciones y asociaciones deportivas","250",D236="Inspecciones agrícolas","275",D236="Inspecciones técnicas","300")</f>
        <v>300</v>
      </c>
      <c r="H236" s="1">
        <f>VALUE(Tabla1[[#This Row],[Columna1]])</f>
        <v>300</v>
      </c>
      <c r="I236" s="1">
        <f t="shared" si="3"/>
        <v>4728</v>
      </c>
    </row>
    <row r="237" spans="1:9" x14ac:dyDescent="0.2">
      <c r="A237" s="12" t="s">
        <v>169</v>
      </c>
      <c r="B237" s="12">
        <f>DATEVALUE(Tabla1[[#This Row],[Columna2]])</f>
        <v>45461</v>
      </c>
      <c r="C237" t="s">
        <v>285</v>
      </c>
      <c r="D237" t="s">
        <v>12</v>
      </c>
      <c r="E237" t="str" cm="1">
        <f t="array" ref="E237">_xlfn.IFS(D237="Eventos particulares","Piloto Junior 1",D237="Federaciones y asociaciones deportivas","Piloto Junior 2",D237="Inspecciones agrícolas","Piloto Senior 1",D237="Inspecciones técnicas","Piloto Senior 2")</f>
        <v>Piloto Junior 1</v>
      </c>
      <c r="F237">
        <v>13.73</v>
      </c>
      <c r="G237" s="1" t="str" cm="1">
        <f t="array" ref="G237">_xlfn.IFS(D237="Eventos particulares","225",D237="Federaciones y asociaciones deportivas","250",D237="Inspecciones agrícolas","275",D237="Inspecciones técnicas","300")</f>
        <v>225</v>
      </c>
      <c r="H237" s="1">
        <f>VALUE(Tabla1[[#This Row],[Columna1]])</f>
        <v>225</v>
      </c>
      <c r="I237" s="1">
        <f t="shared" si="3"/>
        <v>3089.25</v>
      </c>
    </row>
    <row r="238" spans="1:9" x14ac:dyDescent="0.2">
      <c r="A238" s="12" t="s">
        <v>169</v>
      </c>
      <c r="B238" s="12">
        <f>DATEVALUE(Tabla1[[#This Row],[Columna2]])</f>
        <v>45461</v>
      </c>
      <c r="C238" t="s">
        <v>285</v>
      </c>
      <c r="D238" t="s">
        <v>4</v>
      </c>
      <c r="E238" t="str" cm="1">
        <f t="array" ref="E238">_xlfn.IFS(D238="Eventos particulares","Piloto Junior 1",D238="Federaciones y asociaciones deportivas","Piloto Junior 2",D238="Inspecciones agrícolas","Piloto Senior 1",D238="Inspecciones técnicas","Piloto Senior 2")</f>
        <v>Piloto Senior 2</v>
      </c>
      <c r="F238">
        <v>5.87</v>
      </c>
      <c r="G238" s="1" t="str" cm="1">
        <f t="array" ref="G238">_xlfn.IFS(D238="Eventos particulares","225",D238="Federaciones y asociaciones deportivas","250",D238="Inspecciones agrícolas","275",D238="Inspecciones técnicas","300")</f>
        <v>300</v>
      </c>
      <c r="H238" s="1">
        <f>VALUE(Tabla1[[#This Row],[Columna1]])</f>
        <v>300</v>
      </c>
      <c r="I238" s="1">
        <f t="shared" si="3"/>
        <v>1761</v>
      </c>
    </row>
    <row r="239" spans="1:9" x14ac:dyDescent="0.2">
      <c r="A239" s="12" t="s">
        <v>169</v>
      </c>
      <c r="B239" s="12">
        <f>DATEVALUE(Tabla1[[#This Row],[Columna2]])</f>
        <v>45461</v>
      </c>
      <c r="C239" t="s">
        <v>287</v>
      </c>
      <c r="D239" t="s">
        <v>12</v>
      </c>
      <c r="E239" t="str" cm="1">
        <f t="array" ref="E239">_xlfn.IFS(D239="Eventos particulares","Piloto Junior 1",D239="Federaciones y asociaciones deportivas","Piloto Junior 2",D239="Inspecciones agrícolas","Piloto Senior 1",D239="Inspecciones técnicas","Piloto Senior 2")</f>
        <v>Piloto Junior 1</v>
      </c>
      <c r="F239">
        <v>5.48</v>
      </c>
      <c r="G239" s="1" t="str" cm="1">
        <f t="array" ref="G239">_xlfn.IFS(D239="Eventos particulares","225",D239="Federaciones y asociaciones deportivas","250",D239="Inspecciones agrícolas","275",D239="Inspecciones técnicas","300")</f>
        <v>225</v>
      </c>
      <c r="H239" s="1">
        <f>VALUE(Tabla1[[#This Row],[Columna1]])</f>
        <v>225</v>
      </c>
      <c r="I239" s="1">
        <f t="shared" si="3"/>
        <v>1233</v>
      </c>
    </row>
    <row r="240" spans="1:9" x14ac:dyDescent="0.2">
      <c r="A240" s="12" t="s">
        <v>143</v>
      </c>
      <c r="B240" s="12">
        <f>DATEVALUE(Tabla1[[#This Row],[Columna2]])</f>
        <v>45462</v>
      </c>
      <c r="C240" t="s">
        <v>284</v>
      </c>
      <c r="D240" t="s">
        <v>12</v>
      </c>
      <c r="E240" t="str" cm="1">
        <f t="array" ref="E240">_xlfn.IFS(D240="Eventos particulares","Piloto Junior 1",D240="Federaciones y asociaciones deportivas","Piloto Junior 2",D240="Inspecciones agrícolas","Piloto Senior 1",D240="Inspecciones técnicas","Piloto Senior 2")</f>
        <v>Piloto Junior 1</v>
      </c>
      <c r="F240">
        <v>7.58</v>
      </c>
      <c r="G240" s="1" t="str" cm="1">
        <f t="array" ref="G240">_xlfn.IFS(D240="Eventos particulares","225",D240="Federaciones y asociaciones deportivas","250",D240="Inspecciones agrícolas","275",D240="Inspecciones técnicas","300")</f>
        <v>225</v>
      </c>
      <c r="H240" s="1">
        <f>VALUE(Tabla1[[#This Row],[Columna1]])</f>
        <v>225</v>
      </c>
      <c r="I240" s="1">
        <f t="shared" si="3"/>
        <v>1705.5</v>
      </c>
    </row>
    <row r="241" spans="1:9" x14ac:dyDescent="0.2">
      <c r="A241" s="12" t="s">
        <v>143</v>
      </c>
      <c r="B241" s="12">
        <f>DATEVALUE(Tabla1[[#This Row],[Columna2]])</f>
        <v>45462</v>
      </c>
      <c r="C241" t="s">
        <v>284</v>
      </c>
      <c r="D241" t="s">
        <v>4</v>
      </c>
      <c r="E241" t="str" cm="1">
        <f t="array" ref="E241">_xlfn.IFS(D241="Eventos particulares","Piloto Junior 1",D241="Federaciones y asociaciones deportivas","Piloto Junior 2",D241="Inspecciones agrícolas","Piloto Senior 1",D241="Inspecciones técnicas","Piloto Senior 2")</f>
        <v>Piloto Senior 2</v>
      </c>
      <c r="F241">
        <v>8.5</v>
      </c>
      <c r="G241" s="1" t="str" cm="1">
        <f t="array" ref="G241">_xlfn.IFS(D241="Eventos particulares","225",D241="Federaciones y asociaciones deportivas","250",D241="Inspecciones agrícolas","275",D241="Inspecciones técnicas","300")</f>
        <v>300</v>
      </c>
      <c r="H241" s="1">
        <f>VALUE(Tabla1[[#This Row],[Columna1]])</f>
        <v>300</v>
      </c>
      <c r="I241" s="1">
        <f t="shared" si="3"/>
        <v>2550</v>
      </c>
    </row>
    <row r="242" spans="1:9" x14ac:dyDescent="0.2">
      <c r="A242" s="12" t="s">
        <v>82</v>
      </c>
      <c r="B242" s="12">
        <f>DATEVALUE(Tabla1[[#This Row],[Columna2]])</f>
        <v>45463</v>
      </c>
      <c r="C242" t="s">
        <v>284</v>
      </c>
      <c r="D242" t="s">
        <v>4</v>
      </c>
      <c r="E242" t="str" cm="1">
        <f t="array" ref="E242">_xlfn.IFS(D242="Eventos particulares","Piloto Junior 1",D242="Federaciones y asociaciones deportivas","Piloto Junior 2",D242="Inspecciones agrícolas","Piloto Senior 1",D242="Inspecciones técnicas","Piloto Senior 2")</f>
        <v>Piloto Senior 2</v>
      </c>
      <c r="F242">
        <v>10.01</v>
      </c>
      <c r="G242" s="1" t="str" cm="1">
        <f t="array" ref="G242">_xlfn.IFS(D242="Eventos particulares","225",D242="Federaciones y asociaciones deportivas","250",D242="Inspecciones agrícolas","275",D242="Inspecciones técnicas","300")</f>
        <v>300</v>
      </c>
      <c r="H242" s="1">
        <f>VALUE(Tabla1[[#This Row],[Columna1]])</f>
        <v>300</v>
      </c>
      <c r="I242" s="1">
        <f t="shared" si="3"/>
        <v>3003</v>
      </c>
    </row>
    <row r="243" spans="1:9" x14ac:dyDescent="0.2">
      <c r="A243" s="12" t="s">
        <v>82</v>
      </c>
      <c r="B243" s="12">
        <f>DATEVALUE(Tabla1[[#This Row],[Columna2]])</f>
        <v>45463</v>
      </c>
      <c r="C243" t="s">
        <v>287</v>
      </c>
      <c r="D243" t="s">
        <v>17</v>
      </c>
      <c r="E243" t="str" cm="1">
        <f t="array" ref="E243">_xlfn.IFS(D243="Eventos particulares","Piloto Junior 1",D243="Federaciones y asociaciones deportivas","Piloto Junior 2",D243="Inspecciones agrícolas","Piloto Senior 1",D243="Inspecciones técnicas","Piloto Senior 2")</f>
        <v>Piloto Senior 1</v>
      </c>
      <c r="F243">
        <v>12.58</v>
      </c>
      <c r="G243" s="1" t="str" cm="1">
        <f t="array" ref="G243">_xlfn.IFS(D243="Eventos particulares","225",D243="Federaciones y asociaciones deportivas","250",D243="Inspecciones agrícolas","275",D243="Inspecciones técnicas","300")</f>
        <v>275</v>
      </c>
      <c r="H243" s="1">
        <f>VALUE(Tabla1[[#This Row],[Columna1]])</f>
        <v>275</v>
      </c>
      <c r="I243" s="1">
        <f t="shared" si="3"/>
        <v>3459.5</v>
      </c>
    </row>
    <row r="244" spans="1:9" x14ac:dyDescent="0.2">
      <c r="A244" s="12" t="s">
        <v>264</v>
      </c>
      <c r="B244" s="12">
        <f>DATEVALUE(Tabla1[[#This Row],[Columna2]])</f>
        <v>45464</v>
      </c>
      <c r="C244" t="s">
        <v>287</v>
      </c>
      <c r="D244" t="s">
        <v>4</v>
      </c>
      <c r="E244" t="str" cm="1">
        <f t="array" ref="E244">_xlfn.IFS(D244="Eventos particulares","Piloto Junior 1",D244="Federaciones y asociaciones deportivas","Piloto Junior 2",D244="Inspecciones agrícolas","Piloto Senior 1",D244="Inspecciones técnicas","Piloto Senior 2")</f>
        <v>Piloto Senior 2</v>
      </c>
      <c r="F244">
        <v>7.46</v>
      </c>
      <c r="G244" s="1" t="str" cm="1">
        <f t="array" ref="G244">_xlfn.IFS(D244="Eventos particulares","225",D244="Federaciones y asociaciones deportivas","250",D244="Inspecciones agrícolas","275",D244="Inspecciones técnicas","300")</f>
        <v>300</v>
      </c>
      <c r="H244" s="1">
        <f>VALUE(Tabla1[[#This Row],[Columna1]])</f>
        <v>300</v>
      </c>
      <c r="I244" s="1">
        <f t="shared" si="3"/>
        <v>2238</v>
      </c>
    </row>
    <row r="245" spans="1:9" x14ac:dyDescent="0.2">
      <c r="A245" s="12" t="s">
        <v>277</v>
      </c>
      <c r="B245" s="12">
        <f>DATEVALUE(Tabla1[[#This Row],[Columna2]])</f>
        <v>45465</v>
      </c>
      <c r="C245" t="s">
        <v>287</v>
      </c>
      <c r="D245" t="s">
        <v>4</v>
      </c>
      <c r="E245" t="str" cm="1">
        <f t="array" ref="E245">_xlfn.IFS(D245="Eventos particulares","Piloto Junior 1",D245="Federaciones y asociaciones deportivas","Piloto Junior 2",D245="Inspecciones agrícolas","Piloto Senior 1",D245="Inspecciones técnicas","Piloto Senior 2")</f>
        <v>Piloto Senior 2</v>
      </c>
      <c r="F245">
        <v>10.68</v>
      </c>
      <c r="G245" s="1" t="str" cm="1">
        <f t="array" ref="G245">_xlfn.IFS(D245="Eventos particulares","225",D245="Federaciones y asociaciones deportivas","250",D245="Inspecciones agrícolas","275",D245="Inspecciones técnicas","300")</f>
        <v>300</v>
      </c>
      <c r="H245" s="1">
        <f>VALUE(Tabla1[[#This Row],[Columna1]])</f>
        <v>300</v>
      </c>
      <c r="I245" s="1">
        <f t="shared" si="3"/>
        <v>3204</v>
      </c>
    </row>
    <row r="246" spans="1:9" x14ac:dyDescent="0.2">
      <c r="A246" s="12" t="s">
        <v>220</v>
      </c>
      <c r="B246" s="12">
        <f>DATEVALUE(Tabla1[[#This Row],[Columna2]])</f>
        <v>45466</v>
      </c>
      <c r="C246" t="s">
        <v>285</v>
      </c>
      <c r="D246" t="s">
        <v>17</v>
      </c>
      <c r="E246" t="str" cm="1">
        <f t="array" ref="E246">_xlfn.IFS(D246="Eventos particulares","Piloto Junior 1",D246="Federaciones y asociaciones deportivas","Piloto Junior 2",D246="Inspecciones agrícolas","Piloto Senior 1",D246="Inspecciones técnicas","Piloto Senior 2")</f>
        <v>Piloto Senior 1</v>
      </c>
      <c r="F246">
        <v>14.73</v>
      </c>
      <c r="G246" s="1" t="str" cm="1">
        <f t="array" ref="G246">_xlfn.IFS(D246="Eventos particulares","225",D246="Federaciones y asociaciones deportivas","250",D246="Inspecciones agrícolas","275",D246="Inspecciones técnicas","300")</f>
        <v>275</v>
      </c>
      <c r="H246" s="1">
        <f>VALUE(Tabla1[[#This Row],[Columna1]])</f>
        <v>275</v>
      </c>
      <c r="I246" s="1">
        <f t="shared" si="3"/>
        <v>4050.75</v>
      </c>
    </row>
    <row r="247" spans="1:9" x14ac:dyDescent="0.2">
      <c r="A247" s="12" t="s">
        <v>25</v>
      </c>
      <c r="B247" s="12">
        <f>DATEVALUE(Tabla1[[#This Row],[Columna2]])</f>
        <v>45467</v>
      </c>
      <c r="C247" t="s">
        <v>284</v>
      </c>
      <c r="D247" t="s">
        <v>4</v>
      </c>
      <c r="E247" t="str" cm="1">
        <f t="array" ref="E247">_xlfn.IFS(D247="Eventos particulares","Piloto Junior 1",D247="Federaciones y asociaciones deportivas","Piloto Junior 2",D247="Inspecciones agrícolas","Piloto Senior 1",D247="Inspecciones técnicas","Piloto Senior 2")</f>
        <v>Piloto Senior 2</v>
      </c>
      <c r="F247">
        <v>12.11</v>
      </c>
      <c r="G247" s="1" t="str" cm="1">
        <f t="array" ref="G247">_xlfn.IFS(D247="Eventos particulares","225",D247="Federaciones y asociaciones deportivas","250",D247="Inspecciones agrícolas","275",D247="Inspecciones técnicas","300")</f>
        <v>300</v>
      </c>
      <c r="H247" s="1">
        <f>VALUE(Tabla1[[#This Row],[Columna1]])</f>
        <v>300</v>
      </c>
      <c r="I247" s="1">
        <f t="shared" si="3"/>
        <v>3633</v>
      </c>
    </row>
    <row r="248" spans="1:9" x14ac:dyDescent="0.2">
      <c r="A248" s="12" t="s">
        <v>25</v>
      </c>
      <c r="B248" s="12">
        <f>DATEVALUE(Tabla1[[#This Row],[Columna2]])</f>
        <v>45467</v>
      </c>
      <c r="C248" t="s">
        <v>286</v>
      </c>
      <c r="D248" t="s">
        <v>12</v>
      </c>
      <c r="E248" t="str" cm="1">
        <f t="array" ref="E248">_xlfn.IFS(D248="Eventos particulares","Piloto Junior 1",D248="Federaciones y asociaciones deportivas","Piloto Junior 2",D248="Inspecciones agrícolas","Piloto Senior 1",D248="Inspecciones técnicas","Piloto Senior 2")</f>
        <v>Piloto Junior 1</v>
      </c>
      <c r="F248">
        <v>8.41</v>
      </c>
      <c r="G248" s="1" t="str" cm="1">
        <f t="array" ref="G248">_xlfn.IFS(D248="Eventos particulares","225",D248="Federaciones y asociaciones deportivas","250",D248="Inspecciones agrícolas","275",D248="Inspecciones técnicas","300")</f>
        <v>225</v>
      </c>
      <c r="H248" s="1">
        <f>VALUE(Tabla1[[#This Row],[Columna1]])</f>
        <v>225</v>
      </c>
      <c r="I248" s="1">
        <f t="shared" si="3"/>
        <v>1892.25</v>
      </c>
    </row>
    <row r="249" spans="1:9" x14ac:dyDescent="0.2">
      <c r="A249" s="12" t="s">
        <v>207</v>
      </c>
      <c r="B249" s="12">
        <f>DATEVALUE(Tabla1[[#This Row],[Columna2]])</f>
        <v>45469</v>
      </c>
      <c r="C249" t="s">
        <v>285</v>
      </c>
      <c r="D249" t="s">
        <v>12</v>
      </c>
      <c r="E249" t="str" cm="1">
        <f t="array" ref="E249">_xlfn.IFS(D249="Eventos particulares","Piloto Junior 1",D249="Federaciones y asociaciones deportivas","Piloto Junior 2",D249="Inspecciones agrícolas","Piloto Senior 1",D249="Inspecciones técnicas","Piloto Senior 2")</f>
        <v>Piloto Junior 1</v>
      </c>
      <c r="F249">
        <v>11.51</v>
      </c>
      <c r="G249" s="1" t="str" cm="1">
        <f t="array" ref="G249">_xlfn.IFS(D249="Eventos particulares","225",D249="Federaciones y asociaciones deportivas","250",D249="Inspecciones agrícolas","275",D249="Inspecciones técnicas","300")</f>
        <v>225</v>
      </c>
      <c r="H249" s="1">
        <f>VALUE(Tabla1[[#This Row],[Columna1]])</f>
        <v>225</v>
      </c>
      <c r="I249" s="1">
        <f t="shared" si="3"/>
        <v>2589.75</v>
      </c>
    </row>
    <row r="250" spans="1:9" x14ac:dyDescent="0.2">
      <c r="A250" s="12" t="s">
        <v>184</v>
      </c>
      <c r="B250" s="12">
        <f>DATEVALUE(Tabla1[[#This Row],[Columna2]])</f>
        <v>45470</v>
      </c>
      <c r="C250" t="s">
        <v>285</v>
      </c>
      <c r="D250" t="s">
        <v>4</v>
      </c>
      <c r="E250" t="str" cm="1">
        <f t="array" ref="E250">_xlfn.IFS(D250="Eventos particulares","Piloto Junior 1",D250="Federaciones y asociaciones deportivas","Piloto Junior 2",D250="Inspecciones agrícolas","Piloto Senior 1",D250="Inspecciones técnicas","Piloto Senior 2")</f>
        <v>Piloto Senior 2</v>
      </c>
      <c r="F250">
        <v>14.36</v>
      </c>
      <c r="G250" s="1" t="str" cm="1">
        <f t="array" ref="G250">_xlfn.IFS(D250="Eventos particulares","225",D250="Federaciones y asociaciones deportivas","250",D250="Inspecciones agrícolas","275",D250="Inspecciones técnicas","300")</f>
        <v>300</v>
      </c>
      <c r="H250" s="1">
        <f>VALUE(Tabla1[[#This Row],[Columna1]])</f>
        <v>300</v>
      </c>
      <c r="I250" s="1">
        <f t="shared" si="3"/>
        <v>4308</v>
      </c>
    </row>
    <row r="251" spans="1:9" x14ac:dyDescent="0.2">
      <c r="A251" s="12" t="s">
        <v>175</v>
      </c>
      <c r="B251" s="12">
        <f>DATEVALUE(Tabla1[[#This Row],[Columna2]])</f>
        <v>45471</v>
      </c>
      <c r="C251" t="s">
        <v>285</v>
      </c>
      <c r="D251" t="s">
        <v>12</v>
      </c>
      <c r="E251" t="str" cm="1">
        <f t="array" ref="E251">_xlfn.IFS(D251="Eventos particulares","Piloto Junior 1",D251="Federaciones y asociaciones deportivas","Piloto Junior 2",D251="Inspecciones agrícolas","Piloto Senior 1",D251="Inspecciones técnicas","Piloto Senior 2")</f>
        <v>Piloto Junior 1</v>
      </c>
      <c r="F251">
        <v>8.6300000000000008</v>
      </c>
      <c r="G251" s="1" t="str" cm="1">
        <f t="array" ref="G251">_xlfn.IFS(D251="Eventos particulares","225",D251="Federaciones y asociaciones deportivas","250",D251="Inspecciones agrícolas","275",D251="Inspecciones técnicas","300")</f>
        <v>225</v>
      </c>
      <c r="H251" s="1">
        <f>VALUE(Tabla1[[#This Row],[Columna1]])</f>
        <v>225</v>
      </c>
      <c r="I251" s="1">
        <f t="shared" si="3"/>
        <v>1941.7500000000002</v>
      </c>
    </row>
    <row r="252" spans="1:9" x14ac:dyDescent="0.2">
      <c r="A252" s="12" t="s">
        <v>175</v>
      </c>
      <c r="B252" s="12">
        <f>DATEVALUE(Tabla1[[#This Row],[Columna2]])</f>
        <v>45471</v>
      </c>
      <c r="C252" t="s">
        <v>285</v>
      </c>
      <c r="D252" t="s">
        <v>12</v>
      </c>
      <c r="E252" t="str" cm="1">
        <f t="array" ref="E252">_xlfn.IFS(D252="Eventos particulares","Piloto Junior 1",D252="Federaciones y asociaciones deportivas","Piloto Junior 2",D252="Inspecciones agrícolas","Piloto Senior 1",D252="Inspecciones técnicas","Piloto Senior 2")</f>
        <v>Piloto Junior 1</v>
      </c>
      <c r="F252">
        <v>13.17</v>
      </c>
      <c r="G252" s="1" t="str" cm="1">
        <f t="array" ref="G252">_xlfn.IFS(D252="Eventos particulares","225",D252="Federaciones y asociaciones deportivas","250",D252="Inspecciones agrícolas","275",D252="Inspecciones técnicas","300")</f>
        <v>225</v>
      </c>
      <c r="H252" s="1">
        <f>VALUE(Tabla1[[#This Row],[Columna1]])</f>
        <v>225</v>
      </c>
      <c r="I252" s="1">
        <f t="shared" si="3"/>
        <v>2963.25</v>
      </c>
    </row>
    <row r="253" spans="1:9" x14ac:dyDescent="0.2">
      <c r="A253" s="12" t="s">
        <v>7</v>
      </c>
      <c r="B253" s="12">
        <f>DATEVALUE(Tabla1[[#This Row],[Columna2]])</f>
        <v>45472</v>
      </c>
      <c r="C253" t="s">
        <v>284</v>
      </c>
      <c r="D253" t="s">
        <v>6</v>
      </c>
      <c r="E253" t="str" cm="1">
        <f t="array" ref="E253">_xlfn.IFS(D253="Eventos particulares","Piloto Junior 1",D253="Federaciones y asociaciones deportivas","Piloto Junior 2",D253="Inspecciones agrícolas","Piloto Senior 1",D253="Inspecciones técnicas","Piloto Senior 2")</f>
        <v>Piloto Junior 2</v>
      </c>
      <c r="F253">
        <v>11.29</v>
      </c>
      <c r="G253" s="1" t="str" cm="1">
        <f t="array" ref="G253">_xlfn.IFS(D253="Eventos particulares","225",D253="Federaciones y asociaciones deportivas","250",D253="Inspecciones agrícolas","275",D253="Inspecciones técnicas","300")</f>
        <v>250</v>
      </c>
      <c r="H253" s="1">
        <f>VALUE(Tabla1[[#This Row],[Columna1]])</f>
        <v>250</v>
      </c>
      <c r="I253" s="1">
        <f t="shared" si="3"/>
        <v>2822.5</v>
      </c>
    </row>
    <row r="254" spans="1:9" x14ac:dyDescent="0.2">
      <c r="A254" s="12" t="s">
        <v>124</v>
      </c>
      <c r="B254" s="12">
        <f>DATEVALUE(Tabla1[[#This Row],[Columna2]])</f>
        <v>45474</v>
      </c>
      <c r="C254" t="s">
        <v>284</v>
      </c>
      <c r="D254" t="s">
        <v>17</v>
      </c>
      <c r="E254" t="str" cm="1">
        <f t="array" ref="E254">_xlfn.IFS(D254="Eventos particulares","Piloto Junior 1",D254="Federaciones y asociaciones deportivas","Piloto Junior 2",D254="Inspecciones agrícolas","Piloto Senior 1",D254="Inspecciones técnicas","Piloto Senior 2")</f>
        <v>Piloto Senior 1</v>
      </c>
      <c r="F254">
        <v>4.26</v>
      </c>
      <c r="G254" s="1" t="str" cm="1">
        <f t="array" ref="G254">_xlfn.IFS(D254="Eventos particulares","225",D254="Federaciones y asociaciones deportivas","250",D254="Inspecciones agrícolas","275",D254="Inspecciones técnicas","300")</f>
        <v>275</v>
      </c>
      <c r="H254" s="1">
        <f>VALUE(Tabla1[[#This Row],[Columna1]])</f>
        <v>275</v>
      </c>
      <c r="I254" s="1">
        <f t="shared" si="3"/>
        <v>1171.5</v>
      </c>
    </row>
    <row r="255" spans="1:9" x14ac:dyDescent="0.2">
      <c r="A255" s="12" t="s">
        <v>124</v>
      </c>
      <c r="B255" s="12">
        <f>DATEVALUE(Tabla1[[#This Row],[Columna2]])</f>
        <v>45474</v>
      </c>
      <c r="C255" t="s">
        <v>287</v>
      </c>
      <c r="D255" t="s">
        <v>17</v>
      </c>
      <c r="E255" t="str" cm="1">
        <f t="array" ref="E255">_xlfn.IFS(D255="Eventos particulares","Piloto Junior 1",D255="Federaciones y asociaciones deportivas","Piloto Junior 2",D255="Inspecciones agrícolas","Piloto Senior 1",D255="Inspecciones técnicas","Piloto Senior 2")</f>
        <v>Piloto Senior 1</v>
      </c>
      <c r="F255">
        <v>8.86</v>
      </c>
      <c r="G255" s="1" t="str" cm="1">
        <f t="array" ref="G255">_xlfn.IFS(D255="Eventos particulares","225",D255="Federaciones y asociaciones deportivas","250",D255="Inspecciones agrícolas","275",D255="Inspecciones técnicas","300")</f>
        <v>275</v>
      </c>
      <c r="H255" s="1">
        <f>VALUE(Tabla1[[#This Row],[Columna1]])</f>
        <v>275</v>
      </c>
      <c r="I255" s="1">
        <f t="shared" si="3"/>
        <v>2436.5</v>
      </c>
    </row>
    <row r="256" spans="1:9" x14ac:dyDescent="0.2">
      <c r="A256" s="12" t="s">
        <v>101</v>
      </c>
      <c r="B256" s="12">
        <f>DATEVALUE(Tabla1[[#This Row],[Columna2]])</f>
        <v>45475</v>
      </c>
      <c r="C256" t="s">
        <v>284</v>
      </c>
      <c r="D256" t="s">
        <v>4</v>
      </c>
      <c r="E256" t="str" cm="1">
        <f t="array" ref="E256">_xlfn.IFS(D256="Eventos particulares","Piloto Junior 1",D256="Federaciones y asociaciones deportivas","Piloto Junior 2",D256="Inspecciones agrícolas","Piloto Senior 1",D256="Inspecciones técnicas","Piloto Senior 2")</f>
        <v>Piloto Senior 2</v>
      </c>
      <c r="F256">
        <v>6.77</v>
      </c>
      <c r="G256" s="1" t="str" cm="1">
        <f t="array" ref="G256">_xlfn.IFS(D256="Eventos particulares","225",D256="Federaciones y asociaciones deportivas","250",D256="Inspecciones agrícolas","275",D256="Inspecciones técnicas","300")</f>
        <v>300</v>
      </c>
      <c r="H256" s="1">
        <f>VALUE(Tabla1[[#This Row],[Columna1]])</f>
        <v>300</v>
      </c>
      <c r="I256" s="1">
        <f t="shared" si="3"/>
        <v>2030.9999999999998</v>
      </c>
    </row>
    <row r="257" spans="1:9" x14ac:dyDescent="0.2">
      <c r="A257" s="12" t="s">
        <v>60</v>
      </c>
      <c r="B257" s="12">
        <f>DATEVALUE(Tabla1[[#This Row],[Columna2]])</f>
        <v>45476</v>
      </c>
      <c r="C257" t="s">
        <v>284</v>
      </c>
      <c r="D257" t="s">
        <v>17</v>
      </c>
      <c r="E257" t="str" cm="1">
        <f t="array" ref="E257">_xlfn.IFS(D257="Eventos particulares","Piloto Junior 1",D257="Federaciones y asociaciones deportivas","Piloto Junior 2",D257="Inspecciones agrícolas","Piloto Senior 1",D257="Inspecciones técnicas","Piloto Senior 2")</f>
        <v>Piloto Senior 1</v>
      </c>
      <c r="F257">
        <v>9.2200000000000006</v>
      </c>
      <c r="G257" s="1" t="str" cm="1">
        <f t="array" ref="G257">_xlfn.IFS(D257="Eventos particulares","225",D257="Federaciones y asociaciones deportivas","250",D257="Inspecciones agrícolas","275",D257="Inspecciones técnicas","300")</f>
        <v>275</v>
      </c>
      <c r="H257" s="1">
        <f>VALUE(Tabla1[[#This Row],[Columna1]])</f>
        <v>275</v>
      </c>
      <c r="I257" s="1">
        <f t="shared" si="3"/>
        <v>2535.5</v>
      </c>
    </row>
    <row r="258" spans="1:9" x14ac:dyDescent="0.2">
      <c r="A258" s="12" t="s">
        <v>60</v>
      </c>
      <c r="B258" s="12">
        <f>DATEVALUE(Tabla1[[#This Row],[Columna2]])</f>
        <v>45476</v>
      </c>
      <c r="C258" t="s">
        <v>284</v>
      </c>
      <c r="D258" t="s">
        <v>4</v>
      </c>
      <c r="E258" t="str" cm="1">
        <f t="array" ref="E258">_xlfn.IFS(D258="Eventos particulares","Piloto Junior 1",D258="Federaciones y asociaciones deportivas","Piloto Junior 2",D258="Inspecciones agrícolas","Piloto Senior 1",D258="Inspecciones técnicas","Piloto Senior 2")</f>
        <v>Piloto Senior 2</v>
      </c>
      <c r="F258">
        <v>11.81</v>
      </c>
      <c r="G258" s="1" t="str" cm="1">
        <f t="array" ref="G258">_xlfn.IFS(D258="Eventos particulares","225",D258="Federaciones y asociaciones deportivas","250",D258="Inspecciones agrícolas","275",D258="Inspecciones técnicas","300")</f>
        <v>300</v>
      </c>
      <c r="H258" s="1">
        <f>VALUE(Tabla1[[#This Row],[Columna1]])</f>
        <v>300</v>
      </c>
      <c r="I258" s="1">
        <f t="shared" ref="I258:I321" si="4">F258*H258</f>
        <v>3543</v>
      </c>
    </row>
    <row r="259" spans="1:9" x14ac:dyDescent="0.2">
      <c r="A259" s="12" t="s">
        <v>60</v>
      </c>
      <c r="B259" s="12">
        <f>DATEVALUE(Tabla1[[#This Row],[Columna2]])</f>
        <v>45476</v>
      </c>
      <c r="C259" t="s">
        <v>285</v>
      </c>
      <c r="D259" t="s">
        <v>17</v>
      </c>
      <c r="E259" t="str" cm="1">
        <f t="array" ref="E259">_xlfn.IFS(D259="Eventos particulares","Piloto Junior 1",D259="Federaciones y asociaciones deportivas","Piloto Junior 2",D259="Inspecciones agrícolas","Piloto Senior 1",D259="Inspecciones técnicas","Piloto Senior 2")</f>
        <v>Piloto Senior 1</v>
      </c>
      <c r="F259">
        <v>7.87</v>
      </c>
      <c r="G259" s="1" t="str" cm="1">
        <f t="array" ref="G259">_xlfn.IFS(D259="Eventos particulares","225",D259="Federaciones y asociaciones deportivas","250",D259="Inspecciones agrícolas","275",D259="Inspecciones técnicas","300")</f>
        <v>275</v>
      </c>
      <c r="H259" s="1">
        <f>VALUE(Tabla1[[#This Row],[Columna1]])</f>
        <v>275</v>
      </c>
      <c r="I259" s="1">
        <f t="shared" si="4"/>
        <v>2164.25</v>
      </c>
    </row>
    <row r="260" spans="1:9" x14ac:dyDescent="0.2">
      <c r="A260" s="12" t="s">
        <v>278</v>
      </c>
      <c r="B260" s="12">
        <f>DATEVALUE(Tabla1[[#This Row],[Columna2]])</f>
        <v>45478</v>
      </c>
      <c r="C260" t="s">
        <v>287</v>
      </c>
      <c r="D260" t="s">
        <v>4</v>
      </c>
      <c r="E260" t="str" cm="1">
        <f t="array" ref="E260">_xlfn.IFS(D260="Eventos particulares","Piloto Junior 1",D260="Federaciones y asociaciones deportivas","Piloto Junior 2",D260="Inspecciones agrícolas","Piloto Senior 1",D260="Inspecciones técnicas","Piloto Senior 2")</f>
        <v>Piloto Senior 2</v>
      </c>
      <c r="F260">
        <v>13.2</v>
      </c>
      <c r="G260" s="1" t="str" cm="1">
        <f t="array" ref="G260">_xlfn.IFS(D260="Eventos particulares","225",D260="Federaciones y asociaciones deportivas","250",D260="Inspecciones agrícolas","275",D260="Inspecciones técnicas","300")</f>
        <v>300</v>
      </c>
      <c r="H260" s="1">
        <f>VALUE(Tabla1[[#This Row],[Columna1]])</f>
        <v>300</v>
      </c>
      <c r="I260" s="1">
        <f t="shared" si="4"/>
        <v>3960</v>
      </c>
    </row>
    <row r="261" spans="1:9" x14ac:dyDescent="0.2">
      <c r="A261" s="12" t="s">
        <v>165</v>
      </c>
      <c r="B261" s="12">
        <f>DATEVALUE(Tabla1[[#This Row],[Columna2]])</f>
        <v>45479</v>
      </c>
      <c r="C261" t="s">
        <v>284</v>
      </c>
      <c r="D261" t="s">
        <v>12</v>
      </c>
      <c r="E261" t="str" cm="1">
        <f t="array" ref="E261">_xlfn.IFS(D261="Eventos particulares","Piloto Junior 1",D261="Federaciones y asociaciones deportivas","Piloto Junior 2",D261="Inspecciones agrícolas","Piloto Senior 1",D261="Inspecciones técnicas","Piloto Senior 2")</f>
        <v>Piloto Junior 1</v>
      </c>
      <c r="F261">
        <v>15.76</v>
      </c>
      <c r="G261" s="1" t="str" cm="1">
        <f t="array" ref="G261">_xlfn.IFS(D261="Eventos particulares","225",D261="Federaciones y asociaciones deportivas","250",D261="Inspecciones agrícolas","275",D261="Inspecciones técnicas","300")</f>
        <v>225</v>
      </c>
      <c r="H261" s="1">
        <f>VALUE(Tabla1[[#This Row],[Columna1]])</f>
        <v>225</v>
      </c>
      <c r="I261" s="1">
        <f t="shared" si="4"/>
        <v>3546</v>
      </c>
    </row>
    <row r="262" spans="1:9" x14ac:dyDescent="0.2">
      <c r="A262" s="12" t="s">
        <v>100</v>
      </c>
      <c r="B262" s="12">
        <f>DATEVALUE(Tabla1[[#This Row],[Columna2]])</f>
        <v>45481</v>
      </c>
      <c r="C262" t="s">
        <v>284</v>
      </c>
      <c r="D262" t="s">
        <v>17</v>
      </c>
      <c r="E262" t="str" cm="1">
        <f t="array" ref="E262">_xlfn.IFS(D262="Eventos particulares","Piloto Junior 1",D262="Federaciones y asociaciones deportivas","Piloto Junior 2",D262="Inspecciones agrícolas","Piloto Senior 1",D262="Inspecciones técnicas","Piloto Senior 2")</f>
        <v>Piloto Senior 1</v>
      </c>
      <c r="F262">
        <v>10.25</v>
      </c>
      <c r="G262" s="1" t="str" cm="1">
        <f t="array" ref="G262">_xlfn.IFS(D262="Eventos particulares","225",D262="Federaciones y asociaciones deportivas","250",D262="Inspecciones agrícolas","275",D262="Inspecciones técnicas","300")</f>
        <v>275</v>
      </c>
      <c r="H262" s="1">
        <f>VALUE(Tabla1[[#This Row],[Columna1]])</f>
        <v>275</v>
      </c>
      <c r="I262" s="1">
        <f t="shared" si="4"/>
        <v>2818.75</v>
      </c>
    </row>
    <row r="263" spans="1:9" x14ac:dyDescent="0.2">
      <c r="A263" s="12" t="s">
        <v>100</v>
      </c>
      <c r="B263" s="12">
        <f>DATEVALUE(Tabla1[[#This Row],[Columna2]])</f>
        <v>45481</v>
      </c>
      <c r="C263" t="s">
        <v>284</v>
      </c>
      <c r="D263" t="s">
        <v>12</v>
      </c>
      <c r="E263" t="str" cm="1">
        <f t="array" ref="E263">_xlfn.IFS(D263="Eventos particulares","Piloto Junior 1",D263="Federaciones y asociaciones deportivas","Piloto Junior 2",D263="Inspecciones agrícolas","Piloto Senior 1",D263="Inspecciones técnicas","Piloto Senior 2")</f>
        <v>Piloto Junior 1</v>
      </c>
      <c r="F263">
        <v>15.48</v>
      </c>
      <c r="G263" s="1" t="str" cm="1">
        <f t="array" ref="G263">_xlfn.IFS(D263="Eventos particulares","225",D263="Federaciones y asociaciones deportivas","250",D263="Inspecciones agrícolas","275",D263="Inspecciones técnicas","300")</f>
        <v>225</v>
      </c>
      <c r="H263" s="1">
        <f>VALUE(Tabla1[[#This Row],[Columna1]])</f>
        <v>225</v>
      </c>
      <c r="I263" s="1">
        <f t="shared" si="4"/>
        <v>3483</v>
      </c>
    </row>
    <row r="264" spans="1:9" x14ac:dyDescent="0.2">
      <c r="A264" s="12" t="s">
        <v>130</v>
      </c>
      <c r="B264" s="12">
        <f>DATEVALUE(Tabla1[[#This Row],[Columna2]])</f>
        <v>45482</v>
      </c>
      <c r="C264" t="s">
        <v>284</v>
      </c>
      <c r="D264" t="s">
        <v>17</v>
      </c>
      <c r="E264" t="str" cm="1">
        <f t="array" ref="E264">_xlfn.IFS(D264="Eventos particulares","Piloto Junior 1",D264="Federaciones y asociaciones deportivas","Piloto Junior 2",D264="Inspecciones agrícolas","Piloto Senior 1",D264="Inspecciones técnicas","Piloto Senior 2")</f>
        <v>Piloto Senior 1</v>
      </c>
      <c r="F264">
        <v>9.17</v>
      </c>
      <c r="G264" s="1" t="str" cm="1">
        <f t="array" ref="G264">_xlfn.IFS(D264="Eventos particulares","225",D264="Federaciones y asociaciones deportivas","250",D264="Inspecciones agrícolas","275",D264="Inspecciones técnicas","300")</f>
        <v>275</v>
      </c>
      <c r="H264" s="1">
        <f>VALUE(Tabla1[[#This Row],[Columna1]])</f>
        <v>275</v>
      </c>
      <c r="I264" s="1">
        <f t="shared" si="4"/>
        <v>2521.75</v>
      </c>
    </row>
    <row r="265" spans="1:9" x14ac:dyDescent="0.2">
      <c r="A265" s="12" t="s">
        <v>131</v>
      </c>
      <c r="B265" s="12">
        <f>DATEVALUE(Tabla1[[#This Row],[Columna2]])</f>
        <v>45483</v>
      </c>
      <c r="C265" t="s">
        <v>284</v>
      </c>
      <c r="D265" t="s">
        <v>4</v>
      </c>
      <c r="E265" t="str" cm="1">
        <f t="array" ref="E265">_xlfn.IFS(D265="Eventos particulares","Piloto Junior 1",D265="Federaciones y asociaciones deportivas","Piloto Junior 2",D265="Inspecciones agrícolas","Piloto Senior 1",D265="Inspecciones técnicas","Piloto Senior 2")</f>
        <v>Piloto Senior 2</v>
      </c>
      <c r="F265">
        <v>8.01</v>
      </c>
      <c r="G265" s="1" t="str" cm="1">
        <f t="array" ref="G265">_xlfn.IFS(D265="Eventos particulares","225",D265="Federaciones y asociaciones deportivas","250",D265="Inspecciones agrícolas","275",D265="Inspecciones técnicas","300")</f>
        <v>300</v>
      </c>
      <c r="H265" s="1">
        <f>VALUE(Tabla1[[#This Row],[Columna1]])</f>
        <v>300</v>
      </c>
      <c r="I265" s="1">
        <f t="shared" si="4"/>
        <v>2403</v>
      </c>
    </row>
    <row r="266" spans="1:9" x14ac:dyDescent="0.2">
      <c r="A266" s="12" t="s">
        <v>131</v>
      </c>
      <c r="B266" s="12">
        <f>DATEVALUE(Tabla1[[#This Row],[Columna2]])</f>
        <v>45483</v>
      </c>
      <c r="C266" t="s">
        <v>286</v>
      </c>
      <c r="D266" t="s">
        <v>17</v>
      </c>
      <c r="E266" t="str" cm="1">
        <f t="array" ref="E266">_xlfn.IFS(D266="Eventos particulares","Piloto Junior 1",D266="Federaciones y asociaciones deportivas","Piloto Junior 2",D266="Inspecciones agrícolas","Piloto Senior 1",D266="Inspecciones técnicas","Piloto Senior 2")</f>
        <v>Piloto Senior 1</v>
      </c>
      <c r="F266">
        <v>13.99</v>
      </c>
      <c r="G266" s="1" t="str" cm="1">
        <f t="array" ref="G266">_xlfn.IFS(D266="Eventos particulares","225",D266="Federaciones y asociaciones deportivas","250",D266="Inspecciones agrícolas","275",D266="Inspecciones técnicas","300")</f>
        <v>275</v>
      </c>
      <c r="H266" s="1">
        <f>VALUE(Tabla1[[#This Row],[Columna1]])</f>
        <v>275</v>
      </c>
      <c r="I266" s="1">
        <f t="shared" si="4"/>
        <v>3847.25</v>
      </c>
    </row>
    <row r="267" spans="1:9" x14ac:dyDescent="0.2">
      <c r="A267" s="12" t="s">
        <v>132</v>
      </c>
      <c r="B267" s="12">
        <f>DATEVALUE(Tabla1[[#This Row],[Columna2]])</f>
        <v>45485</v>
      </c>
      <c r="C267" t="s">
        <v>284</v>
      </c>
      <c r="D267" t="s">
        <v>12</v>
      </c>
      <c r="E267" t="str" cm="1">
        <f t="array" ref="E267">_xlfn.IFS(D267="Eventos particulares","Piloto Junior 1",D267="Federaciones y asociaciones deportivas","Piloto Junior 2",D267="Inspecciones agrícolas","Piloto Senior 1",D267="Inspecciones técnicas","Piloto Senior 2")</f>
        <v>Piloto Junior 1</v>
      </c>
      <c r="F267">
        <v>6.51</v>
      </c>
      <c r="G267" s="1" t="str" cm="1">
        <f t="array" ref="G267">_xlfn.IFS(D267="Eventos particulares","225",D267="Federaciones y asociaciones deportivas","250",D267="Inspecciones agrícolas","275",D267="Inspecciones técnicas","300")</f>
        <v>225</v>
      </c>
      <c r="H267" s="1">
        <f>VALUE(Tabla1[[#This Row],[Columna1]])</f>
        <v>225</v>
      </c>
      <c r="I267" s="1">
        <f t="shared" si="4"/>
        <v>1464.75</v>
      </c>
    </row>
    <row r="268" spans="1:9" x14ac:dyDescent="0.2">
      <c r="A268" s="12" t="s">
        <v>209</v>
      </c>
      <c r="B268" s="12">
        <f>DATEVALUE(Tabla1[[#This Row],[Columna2]])</f>
        <v>45486</v>
      </c>
      <c r="C268" t="s">
        <v>285</v>
      </c>
      <c r="D268" t="s">
        <v>12</v>
      </c>
      <c r="E268" t="str" cm="1">
        <f t="array" ref="E268">_xlfn.IFS(D268="Eventos particulares","Piloto Junior 1",D268="Federaciones y asociaciones deportivas","Piloto Junior 2",D268="Inspecciones agrícolas","Piloto Senior 1",D268="Inspecciones técnicas","Piloto Senior 2")</f>
        <v>Piloto Junior 1</v>
      </c>
      <c r="F268">
        <v>12.3</v>
      </c>
      <c r="G268" s="1" t="str" cm="1">
        <f t="array" ref="G268">_xlfn.IFS(D268="Eventos particulares","225",D268="Federaciones y asociaciones deportivas","250",D268="Inspecciones agrícolas","275",D268="Inspecciones técnicas","300")</f>
        <v>225</v>
      </c>
      <c r="H268" s="1">
        <f>VALUE(Tabla1[[#This Row],[Columna1]])</f>
        <v>225</v>
      </c>
      <c r="I268" s="1">
        <f t="shared" si="4"/>
        <v>2767.5</v>
      </c>
    </row>
    <row r="269" spans="1:9" x14ac:dyDescent="0.2">
      <c r="A269" s="12" t="s">
        <v>209</v>
      </c>
      <c r="B269" s="12">
        <f>DATEVALUE(Tabla1[[#This Row],[Columna2]])</f>
        <v>45486</v>
      </c>
      <c r="C269" t="s">
        <v>287</v>
      </c>
      <c r="D269" t="s">
        <v>17</v>
      </c>
      <c r="E269" t="str" cm="1">
        <f t="array" ref="E269">_xlfn.IFS(D269="Eventos particulares","Piloto Junior 1",D269="Federaciones y asociaciones deportivas","Piloto Junior 2",D269="Inspecciones agrícolas","Piloto Senior 1",D269="Inspecciones técnicas","Piloto Senior 2")</f>
        <v>Piloto Senior 1</v>
      </c>
      <c r="F269">
        <v>7.99</v>
      </c>
      <c r="G269" s="1" t="str" cm="1">
        <f t="array" ref="G269">_xlfn.IFS(D269="Eventos particulares","225",D269="Federaciones y asociaciones deportivas","250",D269="Inspecciones agrícolas","275",D269="Inspecciones técnicas","300")</f>
        <v>275</v>
      </c>
      <c r="H269" s="1">
        <f>VALUE(Tabla1[[#This Row],[Columna1]])</f>
        <v>275</v>
      </c>
      <c r="I269" s="1">
        <f t="shared" si="4"/>
        <v>2197.25</v>
      </c>
    </row>
    <row r="270" spans="1:9" x14ac:dyDescent="0.2">
      <c r="A270" s="12" t="s">
        <v>209</v>
      </c>
      <c r="B270" s="12">
        <f>DATEVALUE(Tabla1[[#This Row],[Columna2]])</f>
        <v>45486</v>
      </c>
      <c r="C270" t="s">
        <v>287</v>
      </c>
      <c r="D270" t="s">
        <v>12</v>
      </c>
      <c r="E270" t="str" cm="1">
        <f t="array" ref="E270">_xlfn.IFS(D270="Eventos particulares","Piloto Junior 1",D270="Federaciones y asociaciones deportivas","Piloto Junior 2",D270="Inspecciones agrícolas","Piloto Senior 1",D270="Inspecciones técnicas","Piloto Senior 2")</f>
        <v>Piloto Junior 1</v>
      </c>
      <c r="F270">
        <v>10.32</v>
      </c>
      <c r="G270" s="1" t="str" cm="1">
        <f t="array" ref="G270">_xlfn.IFS(D270="Eventos particulares","225",D270="Federaciones y asociaciones deportivas","250",D270="Inspecciones agrícolas","275",D270="Inspecciones técnicas","300")</f>
        <v>225</v>
      </c>
      <c r="H270" s="1">
        <f>VALUE(Tabla1[[#This Row],[Columna1]])</f>
        <v>225</v>
      </c>
      <c r="I270" s="1">
        <f t="shared" si="4"/>
        <v>2322</v>
      </c>
    </row>
    <row r="271" spans="1:9" x14ac:dyDescent="0.2">
      <c r="A271" s="12" t="s">
        <v>176</v>
      </c>
      <c r="B271" s="12">
        <f>DATEVALUE(Tabla1[[#This Row],[Columna2]])</f>
        <v>45487</v>
      </c>
      <c r="C271" t="s">
        <v>285</v>
      </c>
      <c r="D271" t="s">
        <v>17</v>
      </c>
      <c r="E271" t="str" cm="1">
        <f t="array" ref="E271">_xlfn.IFS(D271="Eventos particulares","Piloto Junior 1",D271="Federaciones y asociaciones deportivas","Piloto Junior 2",D271="Inspecciones agrícolas","Piloto Senior 1",D271="Inspecciones técnicas","Piloto Senior 2")</f>
        <v>Piloto Senior 1</v>
      </c>
      <c r="F271">
        <v>11.96</v>
      </c>
      <c r="G271" s="1" t="str" cm="1">
        <f t="array" ref="G271">_xlfn.IFS(D271="Eventos particulares","225",D271="Federaciones y asociaciones deportivas","250",D271="Inspecciones agrícolas","275",D271="Inspecciones técnicas","300")</f>
        <v>275</v>
      </c>
      <c r="H271" s="1">
        <f>VALUE(Tabla1[[#This Row],[Columna1]])</f>
        <v>275</v>
      </c>
      <c r="I271" s="1">
        <f t="shared" si="4"/>
        <v>3289.0000000000005</v>
      </c>
    </row>
    <row r="272" spans="1:9" x14ac:dyDescent="0.2">
      <c r="A272" s="12" t="s">
        <v>176</v>
      </c>
      <c r="B272" s="12">
        <f>DATEVALUE(Tabla1[[#This Row],[Columna2]])</f>
        <v>45487</v>
      </c>
      <c r="C272" t="s">
        <v>286</v>
      </c>
      <c r="D272" t="s">
        <v>4</v>
      </c>
      <c r="E272" t="str" cm="1">
        <f t="array" ref="E272">_xlfn.IFS(D272="Eventos particulares","Piloto Junior 1",D272="Federaciones y asociaciones deportivas","Piloto Junior 2",D272="Inspecciones agrícolas","Piloto Senior 1",D272="Inspecciones técnicas","Piloto Senior 2")</f>
        <v>Piloto Senior 2</v>
      </c>
      <c r="F272">
        <v>11.22</v>
      </c>
      <c r="G272" s="1" t="str" cm="1">
        <f t="array" ref="G272">_xlfn.IFS(D272="Eventos particulares","225",D272="Federaciones y asociaciones deportivas","250",D272="Inspecciones agrícolas","275",D272="Inspecciones técnicas","300")</f>
        <v>300</v>
      </c>
      <c r="H272" s="1">
        <f>VALUE(Tabla1[[#This Row],[Columna1]])</f>
        <v>300</v>
      </c>
      <c r="I272" s="1">
        <f t="shared" si="4"/>
        <v>3366</v>
      </c>
    </row>
    <row r="273" spans="1:9" x14ac:dyDescent="0.2">
      <c r="A273" s="12" t="s">
        <v>156</v>
      </c>
      <c r="B273" s="12">
        <f>DATEVALUE(Tabla1[[#This Row],[Columna2]])</f>
        <v>45488</v>
      </c>
      <c r="C273" t="s">
        <v>284</v>
      </c>
      <c r="D273" t="s">
        <v>17</v>
      </c>
      <c r="E273" t="str" cm="1">
        <f t="array" ref="E273">_xlfn.IFS(D273="Eventos particulares","Piloto Junior 1",D273="Federaciones y asociaciones deportivas","Piloto Junior 2",D273="Inspecciones agrícolas","Piloto Senior 1",D273="Inspecciones técnicas","Piloto Senior 2")</f>
        <v>Piloto Senior 1</v>
      </c>
      <c r="F273">
        <v>9.4</v>
      </c>
      <c r="G273" s="1" t="str" cm="1">
        <f t="array" ref="G273">_xlfn.IFS(D273="Eventos particulares","225",D273="Federaciones y asociaciones deportivas","250",D273="Inspecciones agrícolas","275",D273="Inspecciones técnicas","300")</f>
        <v>275</v>
      </c>
      <c r="H273" s="1">
        <f>VALUE(Tabla1[[#This Row],[Columna1]])</f>
        <v>275</v>
      </c>
      <c r="I273" s="1">
        <f t="shared" si="4"/>
        <v>2585</v>
      </c>
    </row>
    <row r="274" spans="1:9" x14ac:dyDescent="0.2">
      <c r="A274" s="12" t="s">
        <v>250</v>
      </c>
      <c r="B274" s="12">
        <f>DATEVALUE(Tabla1[[#This Row],[Columna2]])</f>
        <v>45490</v>
      </c>
      <c r="C274" t="s">
        <v>286</v>
      </c>
      <c r="D274" t="s">
        <v>12</v>
      </c>
      <c r="E274" t="str" cm="1">
        <f t="array" ref="E274">_xlfn.IFS(D274="Eventos particulares","Piloto Junior 1",D274="Federaciones y asociaciones deportivas","Piloto Junior 2",D274="Inspecciones agrícolas","Piloto Senior 1",D274="Inspecciones técnicas","Piloto Senior 2")</f>
        <v>Piloto Junior 1</v>
      </c>
      <c r="F274">
        <v>11.83</v>
      </c>
      <c r="G274" s="1" t="str" cm="1">
        <f t="array" ref="G274">_xlfn.IFS(D274="Eventos particulares","225",D274="Federaciones y asociaciones deportivas","250",D274="Inspecciones agrícolas","275",D274="Inspecciones técnicas","300")</f>
        <v>225</v>
      </c>
      <c r="H274" s="1">
        <f>VALUE(Tabla1[[#This Row],[Columna1]])</f>
        <v>225</v>
      </c>
      <c r="I274" s="1">
        <f t="shared" si="4"/>
        <v>2661.75</v>
      </c>
    </row>
    <row r="275" spans="1:9" x14ac:dyDescent="0.2">
      <c r="A275" s="12" t="s">
        <v>67</v>
      </c>
      <c r="B275" s="12">
        <f>DATEVALUE(Tabla1[[#This Row],[Columna2]])</f>
        <v>45491</v>
      </c>
      <c r="C275" t="s">
        <v>284</v>
      </c>
      <c r="D275" t="s">
        <v>12</v>
      </c>
      <c r="E275" t="str" cm="1">
        <f t="array" ref="E275">_xlfn.IFS(D275="Eventos particulares","Piloto Junior 1",D275="Federaciones y asociaciones deportivas","Piloto Junior 2",D275="Inspecciones agrícolas","Piloto Senior 1",D275="Inspecciones técnicas","Piloto Senior 2")</f>
        <v>Piloto Junior 1</v>
      </c>
      <c r="F275">
        <v>8.2100000000000009</v>
      </c>
      <c r="G275" s="1" t="str" cm="1">
        <f t="array" ref="G275">_xlfn.IFS(D275="Eventos particulares","225",D275="Federaciones y asociaciones deportivas","250",D275="Inspecciones agrícolas","275",D275="Inspecciones técnicas","300")</f>
        <v>225</v>
      </c>
      <c r="H275" s="1">
        <f>VALUE(Tabla1[[#This Row],[Columna1]])</f>
        <v>225</v>
      </c>
      <c r="I275" s="1">
        <f t="shared" si="4"/>
        <v>1847.2500000000002</v>
      </c>
    </row>
    <row r="276" spans="1:9" x14ac:dyDescent="0.2">
      <c r="A276" s="12" t="s">
        <v>247</v>
      </c>
      <c r="B276" s="12">
        <f>DATEVALUE(Tabla1[[#This Row],[Columna2]])</f>
        <v>45492</v>
      </c>
      <c r="C276" t="s">
        <v>286</v>
      </c>
      <c r="D276" t="s">
        <v>4</v>
      </c>
      <c r="E276" t="str" cm="1">
        <f t="array" ref="E276">_xlfn.IFS(D276="Eventos particulares","Piloto Junior 1",D276="Federaciones y asociaciones deportivas","Piloto Junior 2",D276="Inspecciones agrícolas","Piloto Senior 1",D276="Inspecciones técnicas","Piloto Senior 2")</f>
        <v>Piloto Senior 2</v>
      </c>
      <c r="F276">
        <v>5.87</v>
      </c>
      <c r="G276" s="1" t="str" cm="1">
        <f t="array" ref="G276">_xlfn.IFS(D276="Eventos particulares","225",D276="Federaciones y asociaciones deportivas","250",D276="Inspecciones agrícolas","275",D276="Inspecciones técnicas","300")</f>
        <v>300</v>
      </c>
      <c r="H276" s="1">
        <f>VALUE(Tabla1[[#This Row],[Columna1]])</f>
        <v>300</v>
      </c>
      <c r="I276" s="1">
        <f t="shared" si="4"/>
        <v>1761</v>
      </c>
    </row>
    <row r="277" spans="1:9" x14ac:dyDescent="0.2">
      <c r="A277" s="12" t="s">
        <v>29</v>
      </c>
      <c r="B277" s="12">
        <f>DATEVALUE(Tabla1[[#This Row],[Columna2]])</f>
        <v>45493</v>
      </c>
      <c r="C277" t="s">
        <v>284</v>
      </c>
      <c r="D277" t="s">
        <v>17</v>
      </c>
      <c r="E277" t="str" cm="1">
        <f t="array" ref="E277">_xlfn.IFS(D277="Eventos particulares","Piloto Junior 1",D277="Federaciones y asociaciones deportivas","Piloto Junior 2",D277="Inspecciones agrícolas","Piloto Senior 1",D277="Inspecciones técnicas","Piloto Senior 2")</f>
        <v>Piloto Senior 1</v>
      </c>
      <c r="F277">
        <v>4.1900000000000004</v>
      </c>
      <c r="G277" s="1" t="str" cm="1">
        <f t="array" ref="G277">_xlfn.IFS(D277="Eventos particulares","225",D277="Federaciones y asociaciones deportivas","250",D277="Inspecciones agrícolas","275",D277="Inspecciones técnicas","300")</f>
        <v>275</v>
      </c>
      <c r="H277" s="1">
        <f>VALUE(Tabla1[[#This Row],[Columna1]])</f>
        <v>275</v>
      </c>
      <c r="I277" s="1">
        <f t="shared" si="4"/>
        <v>1152.25</v>
      </c>
    </row>
    <row r="278" spans="1:9" x14ac:dyDescent="0.2">
      <c r="A278" s="12" t="s">
        <v>76</v>
      </c>
      <c r="B278" s="12">
        <f>DATEVALUE(Tabla1[[#This Row],[Columna2]])</f>
        <v>45494</v>
      </c>
      <c r="C278" t="s">
        <v>284</v>
      </c>
      <c r="D278" t="s">
        <v>4</v>
      </c>
      <c r="E278" t="str" cm="1">
        <f t="array" ref="E278">_xlfn.IFS(D278="Eventos particulares","Piloto Junior 1",D278="Federaciones y asociaciones deportivas","Piloto Junior 2",D278="Inspecciones agrícolas","Piloto Senior 1",D278="Inspecciones técnicas","Piloto Senior 2")</f>
        <v>Piloto Senior 2</v>
      </c>
      <c r="F278">
        <v>7.22</v>
      </c>
      <c r="G278" s="1" t="str" cm="1">
        <f t="array" ref="G278">_xlfn.IFS(D278="Eventos particulares","225",D278="Federaciones y asociaciones deportivas","250",D278="Inspecciones agrícolas","275",D278="Inspecciones técnicas","300")</f>
        <v>300</v>
      </c>
      <c r="H278" s="1">
        <f>VALUE(Tabla1[[#This Row],[Columna1]])</f>
        <v>300</v>
      </c>
      <c r="I278" s="1">
        <f t="shared" si="4"/>
        <v>2166</v>
      </c>
    </row>
    <row r="279" spans="1:9" x14ac:dyDescent="0.2">
      <c r="A279" s="12" t="s">
        <v>158</v>
      </c>
      <c r="B279" s="12">
        <f>DATEVALUE(Tabla1[[#This Row],[Columna2]])</f>
        <v>45495</v>
      </c>
      <c r="C279" t="s">
        <v>284</v>
      </c>
      <c r="D279" t="s">
        <v>4</v>
      </c>
      <c r="E279" t="str" cm="1">
        <f t="array" ref="E279">_xlfn.IFS(D279="Eventos particulares","Piloto Junior 1",D279="Federaciones y asociaciones deportivas","Piloto Junior 2",D279="Inspecciones agrícolas","Piloto Senior 1",D279="Inspecciones técnicas","Piloto Senior 2")</f>
        <v>Piloto Senior 2</v>
      </c>
      <c r="F279">
        <v>4.8899999999999997</v>
      </c>
      <c r="G279" s="1" t="str" cm="1">
        <f t="array" ref="G279">_xlfn.IFS(D279="Eventos particulares","225",D279="Federaciones y asociaciones deportivas","250",D279="Inspecciones agrícolas","275",D279="Inspecciones técnicas","300")</f>
        <v>300</v>
      </c>
      <c r="H279" s="1">
        <f>VALUE(Tabla1[[#This Row],[Columna1]])</f>
        <v>300</v>
      </c>
      <c r="I279" s="1">
        <f t="shared" si="4"/>
        <v>1467</v>
      </c>
    </row>
    <row r="280" spans="1:9" x14ac:dyDescent="0.2">
      <c r="A280" s="12" t="s">
        <v>158</v>
      </c>
      <c r="B280" s="12">
        <f>DATEVALUE(Tabla1[[#This Row],[Columna2]])</f>
        <v>45495</v>
      </c>
      <c r="C280" t="s">
        <v>285</v>
      </c>
      <c r="D280" t="s">
        <v>6</v>
      </c>
      <c r="E280" t="str" cm="1">
        <f t="array" ref="E280">_xlfn.IFS(D280="Eventos particulares","Piloto Junior 1",D280="Federaciones y asociaciones deportivas","Piloto Junior 2",D280="Inspecciones agrícolas","Piloto Senior 1",D280="Inspecciones técnicas","Piloto Senior 2")</f>
        <v>Piloto Junior 2</v>
      </c>
      <c r="F280">
        <v>11.4</v>
      </c>
      <c r="G280" s="1" t="str" cm="1">
        <f t="array" ref="G280">_xlfn.IFS(D280="Eventos particulares","225",D280="Federaciones y asociaciones deportivas","250",D280="Inspecciones agrícolas","275",D280="Inspecciones técnicas","300")</f>
        <v>250</v>
      </c>
      <c r="H280" s="1">
        <f>VALUE(Tabla1[[#This Row],[Columna1]])</f>
        <v>250</v>
      </c>
      <c r="I280" s="1">
        <f t="shared" si="4"/>
        <v>2850</v>
      </c>
    </row>
    <row r="281" spans="1:9" x14ac:dyDescent="0.2">
      <c r="A281" s="12" t="s">
        <v>232</v>
      </c>
      <c r="B281" s="12">
        <f>DATEVALUE(Tabla1[[#This Row],[Columna2]])</f>
        <v>45496</v>
      </c>
      <c r="C281" t="s">
        <v>286</v>
      </c>
      <c r="D281" t="s">
        <v>12</v>
      </c>
      <c r="E281" t="str" cm="1">
        <f t="array" ref="E281">_xlfn.IFS(D281="Eventos particulares","Piloto Junior 1",D281="Federaciones y asociaciones deportivas","Piloto Junior 2",D281="Inspecciones agrícolas","Piloto Senior 1",D281="Inspecciones técnicas","Piloto Senior 2")</f>
        <v>Piloto Junior 1</v>
      </c>
      <c r="F281">
        <v>13</v>
      </c>
      <c r="G281" s="1" t="str" cm="1">
        <f t="array" ref="G281">_xlfn.IFS(D281="Eventos particulares","225",D281="Federaciones y asociaciones deportivas","250",D281="Inspecciones agrícolas","275",D281="Inspecciones técnicas","300")</f>
        <v>225</v>
      </c>
      <c r="H281" s="1">
        <f>VALUE(Tabla1[[#This Row],[Columna1]])</f>
        <v>225</v>
      </c>
      <c r="I281" s="1">
        <f t="shared" si="4"/>
        <v>2925</v>
      </c>
    </row>
    <row r="282" spans="1:9" x14ac:dyDescent="0.2">
      <c r="A282" s="12" t="s">
        <v>109</v>
      </c>
      <c r="B282" s="12">
        <f>DATEVALUE(Tabla1[[#This Row],[Columna2]])</f>
        <v>45497</v>
      </c>
      <c r="C282" t="s">
        <v>284</v>
      </c>
      <c r="D282" t="s">
        <v>12</v>
      </c>
      <c r="E282" t="str" cm="1">
        <f t="array" ref="E282">_xlfn.IFS(D282="Eventos particulares","Piloto Junior 1",D282="Federaciones y asociaciones deportivas","Piloto Junior 2",D282="Inspecciones agrícolas","Piloto Senior 1",D282="Inspecciones técnicas","Piloto Senior 2")</f>
        <v>Piloto Junior 1</v>
      </c>
      <c r="F282">
        <v>13.73</v>
      </c>
      <c r="G282" s="1" t="str" cm="1">
        <f t="array" ref="G282">_xlfn.IFS(D282="Eventos particulares","225",D282="Federaciones y asociaciones deportivas","250",D282="Inspecciones agrícolas","275",D282="Inspecciones técnicas","300")</f>
        <v>225</v>
      </c>
      <c r="H282" s="1">
        <f>VALUE(Tabla1[[#This Row],[Columna1]])</f>
        <v>225</v>
      </c>
      <c r="I282" s="1">
        <f t="shared" si="4"/>
        <v>3089.25</v>
      </c>
    </row>
    <row r="283" spans="1:9" x14ac:dyDescent="0.2">
      <c r="A283" s="12" t="s">
        <v>54</v>
      </c>
      <c r="B283" s="12">
        <f>DATEVALUE(Tabla1[[#This Row],[Columna2]])</f>
        <v>45498</v>
      </c>
      <c r="C283" t="s">
        <v>284</v>
      </c>
      <c r="D283" t="s">
        <v>12</v>
      </c>
      <c r="E283" t="str" cm="1">
        <f t="array" ref="E283">_xlfn.IFS(D283="Eventos particulares","Piloto Junior 1",D283="Federaciones y asociaciones deportivas","Piloto Junior 2",D283="Inspecciones agrícolas","Piloto Senior 1",D283="Inspecciones técnicas","Piloto Senior 2")</f>
        <v>Piloto Junior 1</v>
      </c>
      <c r="F283">
        <v>5.69</v>
      </c>
      <c r="G283" s="1" t="str" cm="1">
        <f t="array" ref="G283">_xlfn.IFS(D283="Eventos particulares","225",D283="Federaciones y asociaciones deportivas","250",D283="Inspecciones agrícolas","275",D283="Inspecciones técnicas","300")</f>
        <v>225</v>
      </c>
      <c r="H283" s="1">
        <f>VALUE(Tabla1[[#This Row],[Columna1]])</f>
        <v>225</v>
      </c>
      <c r="I283" s="1">
        <f t="shared" si="4"/>
        <v>1280.25</v>
      </c>
    </row>
    <row r="284" spans="1:9" x14ac:dyDescent="0.2">
      <c r="A284" s="12" t="s">
        <v>54</v>
      </c>
      <c r="B284" s="12">
        <f>DATEVALUE(Tabla1[[#This Row],[Columna2]])</f>
        <v>45498</v>
      </c>
      <c r="C284" t="s">
        <v>284</v>
      </c>
      <c r="D284" t="s">
        <v>6</v>
      </c>
      <c r="E284" t="str" cm="1">
        <f t="array" ref="E284">_xlfn.IFS(D284="Eventos particulares","Piloto Junior 1",D284="Federaciones y asociaciones deportivas","Piloto Junior 2",D284="Inspecciones agrícolas","Piloto Senior 1",D284="Inspecciones técnicas","Piloto Senior 2")</f>
        <v>Piloto Junior 2</v>
      </c>
      <c r="F284">
        <v>8.5299999999999994</v>
      </c>
      <c r="G284" s="1" t="str" cm="1">
        <f t="array" ref="G284">_xlfn.IFS(D284="Eventos particulares","225",D284="Federaciones y asociaciones deportivas","250",D284="Inspecciones agrícolas","275",D284="Inspecciones técnicas","300")</f>
        <v>250</v>
      </c>
      <c r="H284" s="1">
        <f>VALUE(Tabla1[[#This Row],[Columna1]])</f>
        <v>250</v>
      </c>
      <c r="I284" s="1">
        <f t="shared" si="4"/>
        <v>2132.5</v>
      </c>
    </row>
    <row r="285" spans="1:9" x14ac:dyDescent="0.2">
      <c r="A285" s="12" t="s">
        <v>140</v>
      </c>
      <c r="B285" s="12">
        <f>DATEVALUE(Tabla1[[#This Row],[Columna2]])</f>
        <v>45499</v>
      </c>
      <c r="C285" t="s">
        <v>284</v>
      </c>
      <c r="D285" t="s">
        <v>12</v>
      </c>
      <c r="E285" t="str" cm="1">
        <f t="array" ref="E285">_xlfn.IFS(D285="Eventos particulares","Piloto Junior 1",D285="Federaciones y asociaciones deportivas","Piloto Junior 2",D285="Inspecciones agrícolas","Piloto Senior 1",D285="Inspecciones técnicas","Piloto Senior 2")</f>
        <v>Piloto Junior 1</v>
      </c>
      <c r="F285">
        <v>15.78</v>
      </c>
      <c r="G285" s="1" t="str" cm="1">
        <f t="array" ref="G285">_xlfn.IFS(D285="Eventos particulares","225",D285="Federaciones y asociaciones deportivas","250",D285="Inspecciones agrícolas","275",D285="Inspecciones técnicas","300")</f>
        <v>225</v>
      </c>
      <c r="H285" s="1">
        <f>VALUE(Tabla1[[#This Row],[Columna1]])</f>
        <v>225</v>
      </c>
      <c r="I285" s="1">
        <f t="shared" si="4"/>
        <v>3550.5</v>
      </c>
    </row>
    <row r="286" spans="1:9" x14ac:dyDescent="0.2">
      <c r="A286" s="12" t="s">
        <v>19</v>
      </c>
      <c r="B286" s="12">
        <f>DATEVALUE(Tabla1[[#This Row],[Columna2]])</f>
        <v>45500</v>
      </c>
      <c r="C286" t="s">
        <v>284</v>
      </c>
      <c r="D286" t="s">
        <v>12</v>
      </c>
      <c r="E286" t="str" cm="1">
        <f t="array" ref="E286">_xlfn.IFS(D286="Eventos particulares","Piloto Junior 1",D286="Federaciones y asociaciones deportivas","Piloto Junior 2",D286="Inspecciones agrícolas","Piloto Senior 1",D286="Inspecciones técnicas","Piloto Senior 2")</f>
        <v>Piloto Junior 1</v>
      </c>
      <c r="F286">
        <v>11.58</v>
      </c>
      <c r="G286" s="1" t="str" cm="1">
        <f t="array" ref="G286">_xlfn.IFS(D286="Eventos particulares","225",D286="Federaciones y asociaciones deportivas","250",D286="Inspecciones agrícolas","275",D286="Inspecciones técnicas","300")</f>
        <v>225</v>
      </c>
      <c r="H286" s="1">
        <f>VALUE(Tabla1[[#This Row],[Columna1]])</f>
        <v>225</v>
      </c>
      <c r="I286" s="1">
        <f t="shared" si="4"/>
        <v>2605.5</v>
      </c>
    </row>
    <row r="287" spans="1:9" x14ac:dyDescent="0.2">
      <c r="A287" s="12" t="s">
        <v>19</v>
      </c>
      <c r="B287" s="12">
        <f>DATEVALUE(Tabla1[[#This Row],[Columna2]])</f>
        <v>45500</v>
      </c>
      <c r="C287" t="s">
        <v>285</v>
      </c>
      <c r="D287" t="s">
        <v>4</v>
      </c>
      <c r="E287" t="str" cm="1">
        <f t="array" ref="E287">_xlfn.IFS(D287="Eventos particulares","Piloto Junior 1",D287="Federaciones y asociaciones deportivas","Piloto Junior 2",D287="Inspecciones agrícolas","Piloto Senior 1",D287="Inspecciones técnicas","Piloto Senior 2")</f>
        <v>Piloto Senior 2</v>
      </c>
      <c r="F287">
        <v>12.75</v>
      </c>
      <c r="G287" s="1" t="str" cm="1">
        <f t="array" ref="G287">_xlfn.IFS(D287="Eventos particulares","225",D287="Federaciones y asociaciones deportivas","250",D287="Inspecciones agrícolas","275",D287="Inspecciones técnicas","300")</f>
        <v>300</v>
      </c>
      <c r="H287" s="1">
        <f>VALUE(Tabla1[[#This Row],[Columna1]])</f>
        <v>300</v>
      </c>
      <c r="I287" s="1">
        <f t="shared" si="4"/>
        <v>3825</v>
      </c>
    </row>
    <row r="288" spans="1:9" x14ac:dyDescent="0.2">
      <c r="A288" s="12" t="s">
        <v>19</v>
      </c>
      <c r="B288" s="12">
        <f>DATEVALUE(Tabla1[[#This Row],[Columna2]])</f>
        <v>45500</v>
      </c>
      <c r="C288" t="s">
        <v>285</v>
      </c>
      <c r="D288" t="s">
        <v>12</v>
      </c>
      <c r="E288" t="str" cm="1">
        <f t="array" ref="E288">_xlfn.IFS(D288="Eventos particulares","Piloto Junior 1",D288="Federaciones y asociaciones deportivas","Piloto Junior 2",D288="Inspecciones agrícolas","Piloto Senior 1",D288="Inspecciones técnicas","Piloto Senior 2")</f>
        <v>Piloto Junior 1</v>
      </c>
      <c r="F288">
        <v>4.72</v>
      </c>
      <c r="G288" s="1" t="str" cm="1">
        <f t="array" ref="G288">_xlfn.IFS(D288="Eventos particulares","225",D288="Federaciones y asociaciones deportivas","250",D288="Inspecciones agrícolas","275",D288="Inspecciones técnicas","300")</f>
        <v>225</v>
      </c>
      <c r="H288" s="1">
        <f>VALUE(Tabla1[[#This Row],[Columna1]])</f>
        <v>225</v>
      </c>
      <c r="I288" s="1">
        <f t="shared" si="4"/>
        <v>1062</v>
      </c>
    </row>
    <row r="289" spans="1:9" x14ac:dyDescent="0.2">
      <c r="A289" s="12" t="s">
        <v>217</v>
      </c>
      <c r="B289" s="12">
        <f>DATEVALUE(Tabla1[[#This Row],[Columna2]])</f>
        <v>45503</v>
      </c>
      <c r="C289" t="s">
        <v>285</v>
      </c>
      <c r="D289" t="s">
        <v>17</v>
      </c>
      <c r="E289" t="str" cm="1">
        <f t="array" ref="E289">_xlfn.IFS(D289="Eventos particulares","Piloto Junior 1",D289="Federaciones y asociaciones deportivas","Piloto Junior 2",D289="Inspecciones agrícolas","Piloto Senior 1",D289="Inspecciones técnicas","Piloto Senior 2")</f>
        <v>Piloto Senior 1</v>
      </c>
      <c r="F289">
        <v>12.95</v>
      </c>
      <c r="G289" s="1" t="str" cm="1">
        <f t="array" ref="G289">_xlfn.IFS(D289="Eventos particulares","225",D289="Federaciones y asociaciones deportivas","250",D289="Inspecciones agrícolas","275",D289="Inspecciones técnicas","300")</f>
        <v>275</v>
      </c>
      <c r="H289" s="1">
        <f>VALUE(Tabla1[[#This Row],[Columna1]])</f>
        <v>275</v>
      </c>
      <c r="I289" s="1">
        <f t="shared" si="4"/>
        <v>3561.25</v>
      </c>
    </row>
    <row r="290" spans="1:9" x14ac:dyDescent="0.2">
      <c r="A290" s="12" t="s">
        <v>191</v>
      </c>
      <c r="B290" s="12">
        <f>DATEVALUE(Tabla1[[#This Row],[Columna2]])</f>
        <v>45504</v>
      </c>
      <c r="C290" t="s">
        <v>285</v>
      </c>
      <c r="D290" t="s">
        <v>6</v>
      </c>
      <c r="E290" t="str" cm="1">
        <f t="array" ref="E290">_xlfn.IFS(D290="Eventos particulares","Piloto Junior 1",D290="Federaciones y asociaciones deportivas","Piloto Junior 2",D290="Inspecciones agrícolas","Piloto Senior 1",D290="Inspecciones técnicas","Piloto Senior 2")</f>
        <v>Piloto Junior 2</v>
      </c>
      <c r="F290">
        <v>9.34</v>
      </c>
      <c r="G290" s="1" t="str" cm="1">
        <f t="array" ref="G290">_xlfn.IFS(D290="Eventos particulares","225",D290="Federaciones y asociaciones deportivas","250",D290="Inspecciones agrícolas","275",D290="Inspecciones técnicas","300")</f>
        <v>250</v>
      </c>
      <c r="H290" s="1">
        <f>VALUE(Tabla1[[#This Row],[Columna1]])</f>
        <v>250</v>
      </c>
      <c r="I290" s="1">
        <f t="shared" si="4"/>
        <v>2335</v>
      </c>
    </row>
    <row r="291" spans="1:9" x14ac:dyDescent="0.2">
      <c r="A291" s="12" t="s">
        <v>228</v>
      </c>
      <c r="B291" s="12">
        <f>DATEVALUE(Tabla1[[#This Row],[Columna2]])</f>
        <v>45505</v>
      </c>
      <c r="C291" t="s">
        <v>286</v>
      </c>
      <c r="D291" t="s">
        <v>4</v>
      </c>
      <c r="E291" t="str" cm="1">
        <f t="array" ref="E291">_xlfn.IFS(D291="Eventos particulares","Piloto Junior 1",D291="Federaciones y asociaciones deportivas","Piloto Junior 2",D291="Inspecciones agrícolas","Piloto Senior 1",D291="Inspecciones técnicas","Piloto Senior 2")</f>
        <v>Piloto Senior 2</v>
      </c>
      <c r="F291">
        <v>12.02</v>
      </c>
      <c r="G291" s="1" t="str" cm="1">
        <f t="array" ref="G291">_xlfn.IFS(D291="Eventos particulares","225",D291="Federaciones y asociaciones deportivas","250",D291="Inspecciones agrícolas","275",D291="Inspecciones técnicas","300")</f>
        <v>300</v>
      </c>
      <c r="H291" s="1">
        <f>VALUE(Tabla1[[#This Row],[Columna1]])</f>
        <v>300</v>
      </c>
      <c r="I291" s="1">
        <f t="shared" si="4"/>
        <v>3606</v>
      </c>
    </row>
    <row r="292" spans="1:9" x14ac:dyDescent="0.2">
      <c r="A292" s="12" t="s">
        <v>228</v>
      </c>
      <c r="B292" s="12">
        <f>DATEVALUE(Tabla1[[#This Row],[Columna2]])</f>
        <v>45505</v>
      </c>
      <c r="C292" t="s">
        <v>286</v>
      </c>
      <c r="D292" t="s">
        <v>17</v>
      </c>
      <c r="E292" t="str" cm="1">
        <f t="array" ref="E292">_xlfn.IFS(D292="Eventos particulares","Piloto Junior 1",D292="Federaciones y asociaciones deportivas","Piloto Junior 2",D292="Inspecciones agrícolas","Piloto Senior 1",D292="Inspecciones técnicas","Piloto Senior 2")</f>
        <v>Piloto Senior 1</v>
      </c>
      <c r="F292">
        <v>8.39</v>
      </c>
      <c r="G292" s="1" t="str" cm="1">
        <f t="array" ref="G292">_xlfn.IFS(D292="Eventos particulares","225",D292="Federaciones y asociaciones deportivas","250",D292="Inspecciones agrícolas","275",D292="Inspecciones técnicas","300")</f>
        <v>275</v>
      </c>
      <c r="H292" s="1">
        <f>VALUE(Tabla1[[#This Row],[Columna1]])</f>
        <v>275</v>
      </c>
      <c r="I292" s="1">
        <f t="shared" si="4"/>
        <v>2307.25</v>
      </c>
    </row>
    <row r="293" spans="1:9" x14ac:dyDescent="0.2">
      <c r="A293" s="12" t="s">
        <v>99</v>
      </c>
      <c r="B293" s="12">
        <f>DATEVALUE(Tabla1[[#This Row],[Columna2]])</f>
        <v>45507</v>
      </c>
      <c r="C293" t="s">
        <v>284</v>
      </c>
      <c r="D293" t="s">
        <v>4</v>
      </c>
      <c r="E293" t="str" cm="1">
        <f t="array" ref="E293">_xlfn.IFS(D293="Eventos particulares","Piloto Junior 1",D293="Federaciones y asociaciones deportivas","Piloto Junior 2",D293="Inspecciones agrícolas","Piloto Senior 1",D293="Inspecciones técnicas","Piloto Senior 2")</f>
        <v>Piloto Senior 2</v>
      </c>
      <c r="F293">
        <v>8.42</v>
      </c>
      <c r="G293" s="1" t="str" cm="1">
        <f t="array" ref="G293">_xlfn.IFS(D293="Eventos particulares","225",D293="Federaciones y asociaciones deportivas","250",D293="Inspecciones agrícolas","275",D293="Inspecciones técnicas","300")</f>
        <v>300</v>
      </c>
      <c r="H293" s="1">
        <f>VALUE(Tabla1[[#This Row],[Columna1]])</f>
        <v>300</v>
      </c>
      <c r="I293" s="1">
        <f t="shared" si="4"/>
        <v>2526</v>
      </c>
    </row>
    <row r="294" spans="1:9" x14ac:dyDescent="0.2">
      <c r="A294" s="12" t="s">
        <v>99</v>
      </c>
      <c r="B294" s="12">
        <f>DATEVALUE(Tabla1[[#This Row],[Columna2]])</f>
        <v>45507</v>
      </c>
      <c r="C294" t="s">
        <v>284</v>
      </c>
      <c r="D294" t="s">
        <v>4</v>
      </c>
      <c r="E294" t="str" cm="1">
        <f t="array" ref="E294">_xlfn.IFS(D294="Eventos particulares","Piloto Junior 1",D294="Federaciones y asociaciones deportivas","Piloto Junior 2",D294="Inspecciones agrícolas","Piloto Senior 1",D294="Inspecciones técnicas","Piloto Senior 2")</f>
        <v>Piloto Senior 2</v>
      </c>
      <c r="F294">
        <v>11.33</v>
      </c>
      <c r="G294" s="1" t="str" cm="1">
        <f t="array" ref="G294">_xlfn.IFS(D294="Eventos particulares","225",D294="Federaciones y asociaciones deportivas","250",D294="Inspecciones agrícolas","275",D294="Inspecciones técnicas","300")</f>
        <v>300</v>
      </c>
      <c r="H294" s="1">
        <f>VALUE(Tabla1[[#This Row],[Columna1]])</f>
        <v>300</v>
      </c>
      <c r="I294" s="1">
        <f t="shared" si="4"/>
        <v>3399</v>
      </c>
    </row>
    <row r="295" spans="1:9" x14ac:dyDescent="0.2">
      <c r="A295" s="12" t="s">
        <v>237</v>
      </c>
      <c r="B295" s="12">
        <f>DATEVALUE(Tabla1[[#This Row],[Columna2]])</f>
        <v>45509</v>
      </c>
      <c r="C295" t="s">
        <v>286</v>
      </c>
      <c r="D295" t="s">
        <v>4</v>
      </c>
      <c r="E295" t="str" cm="1">
        <f t="array" ref="E295">_xlfn.IFS(D295="Eventos particulares","Piloto Junior 1",D295="Federaciones y asociaciones deportivas","Piloto Junior 2",D295="Inspecciones agrícolas","Piloto Senior 1",D295="Inspecciones técnicas","Piloto Senior 2")</f>
        <v>Piloto Senior 2</v>
      </c>
      <c r="F295">
        <v>6.33</v>
      </c>
      <c r="G295" s="1" t="str" cm="1">
        <f t="array" ref="G295">_xlfn.IFS(D295="Eventos particulares","225",D295="Federaciones y asociaciones deportivas","250",D295="Inspecciones agrícolas","275",D295="Inspecciones técnicas","300")</f>
        <v>300</v>
      </c>
      <c r="H295" s="1">
        <f>VALUE(Tabla1[[#This Row],[Columna1]])</f>
        <v>300</v>
      </c>
      <c r="I295" s="1">
        <f t="shared" si="4"/>
        <v>1899</v>
      </c>
    </row>
    <row r="296" spans="1:9" x14ac:dyDescent="0.2">
      <c r="A296" s="12" t="s">
        <v>237</v>
      </c>
      <c r="B296" s="12">
        <f>DATEVALUE(Tabla1[[#This Row],[Columna2]])</f>
        <v>45509</v>
      </c>
      <c r="C296" t="s">
        <v>286</v>
      </c>
      <c r="D296" t="s">
        <v>17</v>
      </c>
      <c r="E296" t="str" cm="1">
        <f t="array" ref="E296">_xlfn.IFS(D296="Eventos particulares","Piloto Junior 1",D296="Federaciones y asociaciones deportivas","Piloto Junior 2",D296="Inspecciones agrícolas","Piloto Senior 1",D296="Inspecciones técnicas","Piloto Senior 2")</f>
        <v>Piloto Senior 1</v>
      </c>
      <c r="F296">
        <v>12.23</v>
      </c>
      <c r="G296" s="1" t="str" cm="1">
        <f t="array" ref="G296">_xlfn.IFS(D296="Eventos particulares","225",D296="Federaciones y asociaciones deportivas","250",D296="Inspecciones agrícolas","275",D296="Inspecciones técnicas","300")</f>
        <v>275</v>
      </c>
      <c r="H296" s="1">
        <f>VALUE(Tabla1[[#This Row],[Columna1]])</f>
        <v>275</v>
      </c>
      <c r="I296" s="1">
        <f t="shared" si="4"/>
        <v>3363.25</v>
      </c>
    </row>
    <row r="297" spans="1:9" x14ac:dyDescent="0.2">
      <c r="A297" s="12" t="s">
        <v>238</v>
      </c>
      <c r="B297" s="12">
        <f>DATEVALUE(Tabla1[[#This Row],[Columna2]])</f>
        <v>45511</v>
      </c>
      <c r="C297" t="s">
        <v>286</v>
      </c>
      <c r="D297" t="s">
        <v>4</v>
      </c>
      <c r="E297" t="str" cm="1">
        <f t="array" ref="E297">_xlfn.IFS(D297="Eventos particulares","Piloto Junior 1",D297="Federaciones y asociaciones deportivas","Piloto Junior 2",D297="Inspecciones agrícolas","Piloto Senior 1",D297="Inspecciones técnicas","Piloto Senior 2")</f>
        <v>Piloto Senior 2</v>
      </c>
      <c r="F297">
        <v>15.92</v>
      </c>
      <c r="G297" s="1" t="str" cm="1">
        <f t="array" ref="G297">_xlfn.IFS(D297="Eventos particulares","225",D297="Federaciones y asociaciones deportivas","250",D297="Inspecciones agrícolas","275",D297="Inspecciones técnicas","300")</f>
        <v>300</v>
      </c>
      <c r="H297" s="1">
        <f>VALUE(Tabla1[[#This Row],[Columna1]])</f>
        <v>300</v>
      </c>
      <c r="I297" s="1">
        <f t="shared" si="4"/>
        <v>4776</v>
      </c>
    </row>
    <row r="298" spans="1:9" x14ac:dyDescent="0.2">
      <c r="A298" s="12" t="s">
        <v>238</v>
      </c>
      <c r="B298" s="12">
        <f>DATEVALUE(Tabla1[[#This Row],[Columna2]])</f>
        <v>45511</v>
      </c>
      <c r="C298" t="s">
        <v>287</v>
      </c>
      <c r="D298" t="s">
        <v>17</v>
      </c>
      <c r="E298" t="str" cm="1">
        <f t="array" ref="E298">_xlfn.IFS(D298="Eventos particulares","Piloto Junior 1",D298="Federaciones y asociaciones deportivas","Piloto Junior 2",D298="Inspecciones agrícolas","Piloto Senior 1",D298="Inspecciones técnicas","Piloto Senior 2")</f>
        <v>Piloto Senior 1</v>
      </c>
      <c r="F298">
        <v>5.92</v>
      </c>
      <c r="G298" s="1" t="str" cm="1">
        <f t="array" ref="G298">_xlfn.IFS(D298="Eventos particulares","225",D298="Federaciones y asociaciones deportivas","250",D298="Inspecciones agrícolas","275",D298="Inspecciones técnicas","300")</f>
        <v>275</v>
      </c>
      <c r="H298" s="1">
        <f>VALUE(Tabla1[[#This Row],[Columna1]])</f>
        <v>275</v>
      </c>
      <c r="I298" s="1">
        <f t="shared" si="4"/>
        <v>1628</v>
      </c>
    </row>
    <row r="299" spans="1:9" x14ac:dyDescent="0.2">
      <c r="A299" s="12" t="s">
        <v>233</v>
      </c>
      <c r="B299" s="12">
        <f>DATEVALUE(Tabla1[[#This Row],[Columna2]])</f>
        <v>45512</v>
      </c>
      <c r="C299" t="s">
        <v>286</v>
      </c>
      <c r="D299" t="s">
        <v>17</v>
      </c>
      <c r="E299" t="str" cm="1">
        <f t="array" ref="E299">_xlfn.IFS(D299="Eventos particulares","Piloto Junior 1",D299="Federaciones y asociaciones deportivas","Piloto Junior 2",D299="Inspecciones agrícolas","Piloto Senior 1",D299="Inspecciones técnicas","Piloto Senior 2")</f>
        <v>Piloto Senior 1</v>
      </c>
      <c r="F299">
        <v>10.37</v>
      </c>
      <c r="G299" s="1" t="str" cm="1">
        <f t="array" ref="G299">_xlfn.IFS(D299="Eventos particulares","225",D299="Federaciones y asociaciones deportivas","250",D299="Inspecciones agrícolas","275",D299="Inspecciones técnicas","300")</f>
        <v>275</v>
      </c>
      <c r="H299" s="1">
        <f>VALUE(Tabla1[[#This Row],[Columna1]])</f>
        <v>275</v>
      </c>
      <c r="I299" s="1">
        <f t="shared" si="4"/>
        <v>2851.75</v>
      </c>
    </row>
    <row r="300" spans="1:9" x14ac:dyDescent="0.2">
      <c r="A300" s="12" t="s">
        <v>233</v>
      </c>
      <c r="B300" s="12">
        <f>DATEVALUE(Tabla1[[#This Row],[Columna2]])</f>
        <v>45512</v>
      </c>
      <c r="C300" t="s">
        <v>287</v>
      </c>
      <c r="D300" t="s">
        <v>6</v>
      </c>
      <c r="E300" t="str" cm="1">
        <f t="array" ref="E300">_xlfn.IFS(D300="Eventos particulares","Piloto Junior 1",D300="Federaciones y asociaciones deportivas","Piloto Junior 2",D300="Inspecciones agrícolas","Piloto Senior 1",D300="Inspecciones técnicas","Piloto Senior 2")</f>
        <v>Piloto Junior 2</v>
      </c>
      <c r="F300">
        <v>7.17</v>
      </c>
      <c r="G300" s="1" t="str" cm="1">
        <f t="array" ref="G300">_xlfn.IFS(D300="Eventos particulares","225",D300="Federaciones y asociaciones deportivas","250",D300="Inspecciones agrícolas","275",D300="Inspecciones técnicas","300")</f>
        <v>250</v>
      </c>
      <c r="H300" s="1">
        <f>VALUE(Tabla1[[#This Row],[Columna1]])</f>
        <v>250</v>
      </c>
      <c r="I300" s="1">
        <f t="shared" si="4"/>
        <v>1792.5</v>
      </c>
    </row>
    <row r="301" spans="1:9" x14ac:dyDescent="0.2">
      <c r="A301" s="12" t="s">
        <v>233</v>
      </c>
      <c r="B301" s="12">
        <f>DATEVALUE(Tabla1[[#This Row],[Columna2]])</f>
        <v>45512</v>
      </c>
      <c r="C301" t="s">
        <v>287</v>
      </c>
      <c r="D301" t="s">
        <v>4</v>
      </c>
      <c r="E301" t="str" cm="1">
        <f t="array" ref="E301">_xlfn.IFS(D301="Eventos particulares","Piloto Junior 1",D301="Federaciones y asociaciones deportivas","Piloto Junior 2",D301="Inspecciones agrícolas","Piloto Senior 1",D301="Inspecciones técnicas","Piloto Senior 2")</f>
        <v>Piloto Senior 2</v>
      </c>
      <c r="F301">
        <v>14.13</v>
      </c>
      <c r="G301" s="1" t="str" cm="1">
        <f t="array" ref="G301">_xlfn.IFS(D301="Eventos particulares","225",D301="Federaciones y asociaciones deportivas","250",D301="Inspecciones agrícolas","275",D301="Inspecciones técnicas","300")</f>
        <v>300</v>
      </c>
      <c r="H301" s="1">
        <f>VALUE(Tabla1[[#This Row],[Columna1]])</f>
        <v>300</v>
      </c>
      <c r="I301" s="1">
        <f t="shared" si="4"/>
        <v>4239</v>
      </c>
    </row>
    <row r="302" spans="1:9" x14ac:dyDescent="0.2">
      <c r="A302" s="12" t="s">
        <v>231</v>
      </c>
      <c r="B302" s="12">
        <f>DATEVALUE(Tabla1[[#This Row],[Columna2]])</f>
        <v>45513</v>
      </c>
      <c r="C302" t="s">
        <v>286</v>
      </c>
      <c r="D302" t="s">
        <v>12</v>
      </c>
      <c r="E302" t="str" cm="1">
        <f t="array" ref="E302">_xlfn.IFS(D302="Eventos particulares","Piloto Junior 1",D302="Federaciones y asociaciones deportivas","Piloto Junior 2",D302="Inspecciones agrícolas","Piloto Senior 1",D302="Inspecciones técnicas","Piloto Senior 2")</f>
        <v>Piloto Junior 1</v>
      </c>
      <c r="F302">
        <v>11.07</v>
      </c>
      <c r="G302" s="1" t="str" cm="1">
        <f t="array" ref="G302">_xlfn.IFS(D302="Eventos particulares","225",D302="Federaciones y asociaciones deportivas","250",D302="Inspecciones agrícolas","275",D302="Inspecciones técnicas","300")</f>
        <v>225</v>
      </c>
      <c r="H302" s="1">
        <f>VALUE(Tabla1[[#This Row],[Columna1]])</f>
        <v>225</v>
      </c>
      <c r="I302" s="1">
        <f t="shared" si="4"/>
        <v>2490.75</v>
      </c>
    </row>
    <row r="303" spans="1:9" x14ac:dyDescent="0.2">
      <c r="A303" s="12" t="s">
        <v>61</v>
      </c>
      <c r="B303" s="12">
        <f>DATEVALUE(Tabla1[[#This Row],[Columna2]])</f>
        <v>45514</v>
      </c>
      <c r="C303" t="s">
        <v>284</v>
      </c>
      <c r="D303" t="s">
        <v>12</v>
      </c>
      <c r="E303" t="str" cm="1">
        <f t="array" ref="E303">_xlfn.IFS(D303="Eventos particulares","Piloto Junior 1",D303="Federaciones y asociaciones deportivas","Piloto Junior 2",D303="Inspecciones agrícolas","Piloto Senior 1",D303="Inspecciones técnicas","Piloto Senior 2")</f>
        <v>Piloto Junior 1</v>
      </c>
      <c r="F303">
        <v>12.24</v>
      </c>
      <c r="G303" s="1" t="str" cm="1">
        <f t="array" ref="G303">_xlfn.IFS(D303="Eventos particulares","225",D303="Federaciones y asociaciones deportivas","250",D303="Inspecciones agrícolas","275",D303="Inspecciones técnicas","300")</f>
        <v>225</v>
      </c>
      <c r="H303" s="1">
        <f>VALUE(Tabla1[[#This Row],[Columna1]])</f>
        <v>225</v>
      </c>
      <c r="I303" s="1">
        <f t="shared" si="4"/>
        <v>2754</v>
      </c>
    </row>
    <row r="304" spans="1:9" x14ac:dyDescent="0.2">
      <c r="A304" s="12" t="s">
        <v>259</v>
      </c>
      <c r="B304" s="12">
        <f>DATEVALUE(Tabla1[[#This Row],[Columna2]])</f>
        <v>45515</v>
      </c>
      <c r="C304" t="s">
        <v>286</v>
      </c>
      <c r="D304" t="s">
        <v>4</v>
      </c>
      <c r="E304" t="str" cm="1">
        <f t="array" ref="E304">_xlfn.IFS(D304="Eventos particulares","Piloto Junior 1",D304="Federaciones y asociaciones deportivas","Piloto Junior 2",D304="Inspecciones agrícolas","Piloto Senior 1",D304="Inspecciones técnicas","Piloto Senior 2")</f>
        <v>Piloto Senior 2</v>
      </c>
      <c r="F304">
        <v>13.86</v>
      </c>
      <c r="G304" s="1" t="str" cm="1">
        <f t="array" ref="G304">_xlfn.IFS(D304="Eventos particulares","225",D304="Federaciones y asociaciones deportivas","250",D304="Inspecciones agrícolas","275",D304="Inspecciones técnicas","300")</f>
        <v>300</v>
      </c>
      <c r="H304" s="1">
        <f>VALUE(Tabla1[[#This Row],[Columna1]])</f>
        <v>300</v>
      </c>
      <c r="I304" s="1">
        <f t="shared" si="4"/>
        <v>4158</v>
      </c>
    </row>
    <row r="305" spans="1:9" x14ac:dyDescent="0.2">
      <c r="A305" s="12" t="s">
        <v>78</v>
      </c>
      <c r="B305" s="12">
        <f>DATEVALUE(Tabla1[[#This Row],[Columna2]])</f>
        <v>45516</v>
      </c>
      <c r="C305" t="s">
        <v>284</v>
      </c>
      <c r="D305" t="s">
        <v>17</v>
      </c>
      <c r="E305" t="str" cm="1">
        <f t="array" ref="E305">_xlfn.IFS(D305="Eventos particulares","Piloto Junior 1",D305="Federaciones y asociaciones deportivas","Piloto Junior 2",D305="Inspecciones agrícolas","Piloto Senior 1",D305="Inspecciones técnicas","Piloto Senior 2")</f>
        <v>Piloto Senior 1</v>
      </c>
      <c r="F305">
        <v>5.08</v>
      </c>
      <c r="G305" s="1" t="str" cm="1">
        <f t="array" ref="G305">_xlfn.IFS(D305="Eventos particulares","225",D305="Federaciones y asociaciones deportivas","250",D305="Inspecciones agrícolas","275",D305="Inspecciones técnicas","300")</f>
        <v>275</v>
      </c>
      <c r="H305" s="1">
        <f>VALUE(Tabla1[[#This Row],[Columna1]])</f>
        <v>275</v>
      </c>
      <c r="I305" s="1">
        <f t="shared" si="4"/>
        <v>1397</v>
      </c>
    </row>
    <row r="306" spans="1:9" x14ac:dyDescent="0.2">
      <c r="A306" s="12" t="s">
        <v>78</v>
      </c>
      <c r="B306" s="12">
        <f>DATEVALUE(Tabla1[[#This Row],[Columna2]])</f>
        <v>45516</v>
      </c>
      <c r="C306" t="s">
        <v>284</v>
      </c>
      <c r="D306" t="s">
        <v>12</v>
      </c>
      <c r="E306" t="str" cm="1">
        <f t="array" ref="E306">_xlfn.IFS(D306="Eventos particulares","Piloto Junior 1",D306="Federaciones y asociaciones deportivas","Piloto Junior 2",D306="Inspecciones agrícolas","Piloto Senior 1",D306="Inspecciones técnicas","Piloto Senior 2")</f>
        <v>Piloto Junior 1</v>
      </c>
      <c r="F306">
        <v>11.8</v>
      </c>
      <c r="G306" s="1" t="str" cm="1">
        <f t="array" ref="G306">_xlfn.IFS(D306="Eventos particulares","225",D306="Federaciones y asociaciones deportivas","250",D306="Inspecciones agrícolas","275",D306="Inspecciones técnicas","300")</f>
        <v>225</v>
      </c>
      <c r="H306" s="1">
        <f>VALUE(Tabla1[[#This Row],[Columna1]])</f>
        <v>225</v>
      </c>
      <c r="I306" s="1">
        <f t="shared" si="4"/>
        <v>2655</v>
      </c>
    </row>
    <row r="307" spans="1:9" x14ac:dyDescent="0.2">
      <c r="A307" s="12" t="s">
        <v>235</v>
      </c>
      <c r="B307" s="12">
        <f>DATEVALUE(Tabla1[[#This Row],[Columna2]])</f>
        <v>45517</v>
      </c>
      <c r="C307" t="s">
        <v>286</v>
      </c>
      <c r="D307" t="s">
        <v>4</v>
      </c>
      <c r="E307" t="str" cm="1">
        <f t="array" ref="E307">_xlfn.IFS(D307="Eventos particulares","Piloto Junior 1",D307="Federaciones y asociaciones deportivas","Piloto Junior 2",D307="Inspecciones agrícolas","Piloto Senior 1",D307="Inspecciones técnicas","Piloto Senior 2")</f>
        <v>Piloto Senior 2</v>
      </c>
      <c r="F307">
        <v>13.11</v>
      </c>
      <c r="G307" s="1" t="str" cm="1">
        <f t="array" ref="G307">_xlfn.IFS(D307="Eventos particulares","225",D307="Federaciones y asociaciones deportivas","250",D307="Inspecciones agrícolas","275",D307="Inspecciones técnicas","300")</f>
        <v>300</v>
      </c>
      <c r="H307" s="1">
        <f>VALUE(Tabla1[[#This Row],[Columna1]])</f>
        <v>300</v>
      </c>
      <c r="I307" s="1">
        <f t="shared" si="4"/>
        <v>3933</v>
      </c>
    </row>
    <row r="308" spans="1:9" x14ac:dyDescent="0.2">
      <c r="A308" s="12" t="s">
        <v>235</v>
      </c>
      <c r="B308" s="12">
        <f>DATEVALUE(Tabla1[[#This Row],[Columna2]])</f>
        <v>45517</v>
      </c>
      <c r="C308" t="s">
        <v>286</v>
      </c>
      <c r="D308" t="s">
        <v>4</v>
      </c>
      <c r="E308" t="str" cm="1">
        <f t="array" ref="E308">_xlfn.IFS(D308="Eventos particulares","Piloto Junior 1",D308="Federaciones y asociaciones deportivas","Piloto Junior 2",D308="Inspecciones agrícolas","Piloto Senior 1",D308="Inspecciones técnicas","Piloto Senior 2")</f>
        <v>Piloto Senior 2</v>
      </c>
      <c r="F308">
        <v>15.41</v>
      </c>
      <c r="G308" s="1" t="str" cm="1">
        <f t="array" ref="G308">_xlfn.IFS(D308="Eventos particulares","225",D308="Federaciones y asociaciones deportivas","250",D308="Inspecciones agrícolas","275",D308="Inspecciones técnicas","300")</f>
        <v>300</v>
      </c>
      <c r="H308" s="1">
        <f>VALUE(Tabla1[[#This Row],[Columna1]])</f>
        <v>300</v>
      </c>
      <c r="I308" s="1">
        <f t="shared" si="4"/>
        <v>4623</v>
      </c>
    </row>
    <row r="309" spans="1:9" x14ac:dyDescent="0.2">
      <c r="A309" s="12" t="s">
        <v>203</v>
      </c>
      <c r="B309" s="12">
        <f>DATEVALUE(Tabla1[[#This Row],[Columna2]])</f>
        <v>45519</v>
      </c>
      <c r="C309" t="s">
        <v>285</v>
      </c>
      <c r="D309" t="s">
        <v>17</v>
      </c>
      <c r="E309" t="str" cm="1">
        <f t="array" ref="E309">_xlfn.IFS(D309="Eventos particulares","Piloto Junior 1",D309="Federaciones y asociaciones deportivas","Piloto Junior 2",D309="Inspecciones agrícolas","Piloto Senior 1",D309="Inspecciones técnicas","Piloto Senior 2")</f>
        <v>Piloto Senior 1</v>
      </c>
      <c r="F309">
        <v>4.78</v>
      </c>
      <c r="G309" s="1" t="str" cm="1">
        <f t="array" ref="G309">_xlfn.IFS(D309="Eventos particulares","225",D309="Federaciones y asociaciones deportivas","250",D309="Inspecciones agrícolas","275",D309="Inspecciones técnicas","300")</f>
        <v>275</v>
      </c>
      <c r="H309" s="1">
        <f>VALUE(Tabla1[[#This Row],[Columna1]])</f>
        <v>275</v>
      </c>
      <c r="I309" s="1">
        <f t="shared" si="4"/>
        <v>1314.5</v>
      </c>
    </row>
    <row r="310" spans="1:9" x14ac:dyDescent="0.2">
      <c r="A310" s="12" t="s">
        <v>203</v>
      </c>
      <c r="B310" s="12">
        <f>DATEVALUE(Tabla1[[#This Row],[Columna2]])</f>
        <v>45519</v>
      </c>
      <c r="C310" t="s">
        <v>287</v>
      </c>
      <c r="D310" t="s">
        <v>4</v>
      </c>
      <c r="E310" t="str" cm="1">
        <f t="array" ref="E310">_xlfn.IFS(D310="Eventos particulares","Piloto Junior 1",D310="Federaciones y asociaciones deportivas","Piloto Junior 2",D310="Inspecciones agrícolas","Piloto Senior 1",D310="Inspecciones técnicas","Piloto Senior 2")</f>
        <v>Piloto Senior 2</v>
      </c>
      <c r="F310">
        <v>6.38</v>
      </c>
      <c r="G310" s="1" t="str" cm="1">
        <f t="array" ref="G310">_xlfn.IFS(D310="Eventos particulares","225",D310="Federaciones y asociaciones deportivas","250",D310="Inspecciones agrícolas","275",D310="Inspecciones técnicas","300")</f>
        <v>300</v>
      </c>
      <c r="H310" s="1">
        <f>VALUE(Tabla1[[#This Row],[Columna1]])</f>
        <v>300</v>
      </c>
      <c r="I310" s="1">
        <f t="shared" si="4"/>
        <v>1914</v>
      </c>
    </row>
    <row r="311" spans="1:9" x14ac:dyDescent="0.2">
      <c r="A311" s="12" t="s">
        <v>164</v>
      </c>
      <c r="B311" s="12">
        <f>DATEVALUE(Tabla1[[#This Row],[Columna2]])</f>
        <v>45520</v>
      </c>
      <c r="C311" t="s">
        <v>284</v>
      </c>
      <c r="D311" t="s">
        <v>12</v>
      </c>
      <c r="E311" t="str" cm="1">
        <f t="array" ref="E311">_xlfn.IFS(D311="Eventos particulares","Piloto Junior 1",D311="Federaciones y asociaciones deportivas","Piloto Junior 2",D311="Inspecciones agrícolas","Piloto Senior 1",D311="Inspecciones técnicas","Piloto Senior 2")</f>
        <v>Piloto Junior 1</v>
      </c>
      <c r="F311">
        <v>14.5</v>
      </c>
      <c r="G311" s="1" t="str" cm="1">
        <f t="array" ref="G311">_xlfn.IFS(D311="Eventos particulares","225",D311="Federaciones y asociaciones deportivas","250",D311="Inspecciones agrícolas","275",D311="Inspecciones técnicas","300")</f>
        <v>225</v>
      </c>
      <c r="H311" s="1">
        <f>VALUE(Tabla1[[#This Row],[Columna1]])</f>
        <v>225</v>
      </c>
      <c r="I311" s="1">
        <f t="shared" si="4"/>
        <v>3262.5</v>
      </c>
    </row>
    <row r="312" spans="1:9" x14ac:dyDescent="0.2">
      <c r="A312" s="12" t="s">
        <v>164</v>
      </c>
      <c r="B312" s="12">
        <f>DATEVALUE(Tabla1[[#This Row],[Columna2]])</f>
        <v>45520</v>
      </c>
      <c r="C312" t="s">
        <v>285</v>
      </c>
      <c r="D312" t="s">
        <v>12</v>
      </c>
      <c r="E312" t="str" cm="1">
        <f t="array" ref="E312">_xlfn.IFS(D312="Eventos particulares","Piloto Junior 1",D312="Federaciones y asociaciones deportivas","Piloto Junior 2",D312="Inspecciones agrícolas","Piloto Senior 1",D312="Inspecciones técnicas","Piloto Senior 2")</f>
        <v>Piloto Junior 1</v>
      </c>
      <c r="F312">
        <v>12.68</v>
      </c>
      <c r="G312" s="1" t="str" cm="1">
        <f t="array" ref="G312">_xlfn.IFS(D312="Eventos particulares","225",D312="Federaciones y asociaciones deportivas","250",D312="Inspecciones agrícolas","275",D312="Inspecciones técnicas","300")</f>
        <v>225</v>
      </c>
      <c r="H312" s="1">
        <f>VALUE(Tabla1[[#This Row],[Columna1]])</f>
        <v>225</v>
      </c>
      <c r="I312" s="1">
        <f t="shared" si="4"/>
        <v>2853</v>
      </c>
    </row>
    <row r="313" spans="1:9" x14ac:dyDescent="0.2">
      <c r="A313" s="12" t="s">
        <v>164</v>
      </c>
      <c r="B313" s="12">
        <f>DATEVALUE(Tabla1[[#This Row],[Columna2]])</f>
        <v>45520</v>
      </c>
      <c r="C313" t="s">
        <v>287</v>
      </c>
      <c r="D313" t="s">
        <v>17</v>
      </c>
      <c r="E313" t="str" cm="1">
        <f t="array" ref="E313">_xlfn.IFS(D313="Eventos particulares","Piloto Junior 1",D313="Federaciones y asociaciones deportivas","Piloto Junior 2",D313="Inspecciones agrícolas","Piloto Senior 1",D313="Inspecciones técnicas","Piloto Senior 2")</f>
        <v>Piloto Senior 1</v>
      </c>
      <c r="F313">
        <v>14.36</v>
      </c>
      <c r="G313" s="1" t="str" cm="1">
        <f t="array" ref="G313">_xlfn.IFS(D313="Eventos particulares","225",D313="Federaciones y asociaciones deportivas","250",D313="Inspecciones agrícolas","275",D313="Inspecciones técnicas","300")</f>
        <v>275</v>
      </c>
      <c r="H313" s="1">
        <f>VALUE(Tabla1[[#This Row],[Columna1]])</f>
        <v>275</v>
      </c>
      <c r="I313" s="1">
        <f t="shared" si="4"/>
        <v>3949</v>
      </c>
    </row>
    <row r="314" spans="1:9" x14ac:dyDescent="0.2">
      <c r="A314" s="12" t="s">
        <v>88</v>
      </c>
      <c r="B314" s="12">
        <f>DATEVALUE(Tabla1[[#This Row],[Columna2]])</f>
        <v>45521</v>
      </c>
      <c r="C314" t="s">
        <v>284</v>
      </c>
      <c r="D314" t="s">
        <v>6</v>
      </c>
      <c r="E314" t="str" cm="1">
        <f t="array" ref="E314">_xlfn.IFS(D314="Eventos particulares","Piloto Junior 1",D314="Federaciones y asociaciones deportivas","Piloto Junior 2",D314="Inspecciones agrícolas","Piloto Senior 1",D314="Inspecciones técnicas","Piloto Senior 2")</f>
        <v>Piloto Junior 2</v>
      </c>
      <c r="F314">
        <v>7.76</v>
      </c>
      <c r="G314" s="1" t="str" cm="1">
        <f t="array" ref="G314">_xlfn.IFS(D314="Eventos particulares","225",D314="Federaciones y asociaciones deportivas","250",D314="Inspecciones agrícolas","275",D314="Inspecciones técnicas","300")</f>
        <v>250</v>
      </c>
      <c r="H314" s="1">
        <f>VALUE(Tabla1[[#This Row],[Columna1]])</f>
        <v>250</v>
      </c>
      <c r="I314" s="1">
        <f t="shared" si="4"/>
        <v>1940</v>
      </c>
    </row>
    <row r="315" spans="1:9" x14ac:dyDescent="0.2">
      <c r="A315" s="12" t="s">
        <v>88</v>
      </c>
      <c r="B315" s="12">
        <f>DATEVALUE(Tabla1[[#This Row],[Columna2]])</f>
        <v>45521</v>
      </c>
      <c r="C315" t="s">
        <v>285</v>
      </c>
      <c r="D315" t="s">
        <v>6</v>
      </c>
      <c r="E315" t="str" cm="1">
        <f t="array" ref="E315">_xlfn.IFS(D315="Eventos particulares","Piloto Junior 1",D315="Federaciones y asociaciones deportivas","Piloto Junior 2",D315="Inspecciones agrícolas","Piloto Senior 1",D315="Inspecciones técnicas","Piloto Senior 2")</f>
        <v>Piloto Junior 2</v>
      </c>
      <c r="F315">
        <v>6.6</v>
      </c>
      <c r="G315" s="1" t="str" cm="1">
        <f t="array" ref="G315">_xlfn.IFS(D315="Eventos particulares","225",D315="Federaciones y asociaciones deportivas","250",D315="Inspecciones agrícolas","275",D315="Inspecciones técnicas","300")</f>
        <v>250</v>
      </c>
      <c r="H315" s="1">
        <f>VALUE(Tabla1[[#This Row],[Columna1]])</f>
        <v>250</v>
      </c>
      <c r="I315" s="1">
        <f t="shared" si="4"/>
        <v>1650</v>
      </c>
    </row>
    <row r="316" spans="1:9" x14ac:dyDescent="0.2">
      <c r="A316" s="12" t="s">
        <v>141</v>
      </c>
      <c r="B316" s="12">
        <f>DATEVALUE(Tabla1[[#This Row],[Columna2]])</f>
        <v>45522</v>
      </c>
      <c r="C316" t="s">
        <v>284</v>
      </c>
      <c r="D316" t="s">
        <v>12</v>
      </c>
      <c r="E316" t="str" cm="1">
        <f t="array" ref="E316">_xlfn.IFS(D316="Eventos particulares","Piloto Junior 1",D316="Federaciones y asociaciones deportivas","Piloto Junior 2",D316="Inspecciones agrícolas","Piloto Senior 1",D316="Inspecciones técnicas","Piloto Senior 2")</f>
        <v>Piloto Junior 1</v>
      </c>
      <c r="F316">
        <v>11.05</v>
      </c>
      <c r="G316" s="1" t="str" cm="1">
        <f t="array" ref="G316">_xlfn.IFS(D316="Eventos particulares","225",D316="Federaciones y asociaciones deportivas","250",D316="Inspecciones agrícolas","275",D316="Inspecciones técnicas","300")</f>
        <v>225</v>
      </c>
      <c r="H316" s="1">
        <f>VALUE(Tabla1[[#This Row],[Columna1]])</f>
        <v>225</v>
      </c>
      <c r="I316" s="1">
        <f t="shared" si="4"/>
        <v>2486.25</v>
      </c>
    </row>
    <row r="317" spans="1:9" x14ac:dyDescent="0.2">
      <c r="A317" s="12" t="s">
        <v>141</v>
      </c>
      <c r="B317" s="12">
        <f>DATEVALUE(Tabla1[[#This Row],[Columna2]])</f>
        <v>45522</v>
      </c>
      <c r="C317" t="s">
        <v>285</v>
      </c>
      <c r="D317" t="s">
        <v>4</v>
      </c>
      <c r="E317" t="str" cm="1">
        <f t="array" ref="E317">_xlfn.IFS(D317="Eventos particulares","Piloto Junior 1",D317="Federaciones y asociaciones deportivas","Piloto Junior 2",D317="Inspecciones agrícolas","Piloto Senior 1",D317="Inspecciones técnicas","Piloto Senior 2")</f>
        <v>Piloto Senior 2</v>
      </c>
      <c r="F317">
        <v>5.8</v>
      </c>
      <c r="G317" s="1" t="str" cm="1">
        <f t="array" ref="G317">_xlfn.IFS(D317="Eventos particulares","225",D317="Federaciones y asociaciones deportivas","250",D317="Inspecciones agrícolas","275",D317="Inspecciones técnicas","300")</f>
        <v>300</v>
      </c>
      <c r="H317" s="1">
        <f>VALUE(Tabla1[[#This Row],[Columna1]])</f>
        <v>300</v>
      </c>
      <c r="I317" s="1">
        <f t="shared" si="4"/>
        <v>1740</v>
      </c>
    </row>
    <row r="318" spans="1:9" x14ac:dyDescent="0.2">
      <c r="A318" s="12" t="s">
        <v>258</v>
      </c>
      <c r="B318" s="12">
        <f>DATEVALUE(Tabla1[[#This Row],[Columna2]])</f>
        <v>45523</v>
      </c>
      <c r="C318" t="s">
        <v>286</v>
      </c>
      <c r="D318" t="s">
        <v>4</v>
      </c>
      <c r="E318" t="str" cm="1">
        <f t="array" ref="E318">_xlfn.IFS(D318="Eventos particulares","Piloto Junior 1",D318="Federaciones y asociaciones deportivas","Piloto Junior 2",D318="Inspecciones agrícolas","Piloto Senior 1",D318="Inspecciones técnicas","Piloto Senior 2")</f>
        <v>Piloto Senior 2</v>
      </c>
      <c r="F318">
        <v>13.01</v>
      </c>
      <c r="G318" s="1" t="str" cm="1">
        <f t="array" ref="G318">_xlfn.IFS(D318="Eventos particulares","225",D318="Federaciones y asociaciones deportivas","250",D318="Inspecciones agrícolas","275",D318="Inspecciones técnicas","300")</f>
        <v>300</v>
      </c>
      <c r="H318" s="1">
        <f>VALUE(Tabla1[[#This Row],[Columna1]])</f>
        <v>300</v>
      </c>
      <c r="I318" s="1">
        <f t="shared" si="4"/>
        <v>3903</v>
      </c>
    </row>
    <row r="319" spans="1:9" x14ac:dyDescent="0.2">
      <c r="A319" s="12" t="s">
        <v>70</v>
      </c>
      <c r="B319" s="12">
        <f>DATEVALUE(Tabla1[[#This Row],[Columna2]])</f>
        <v>45524</v>
      </c>
      <c r="C319" t="s">
        <v>284</v>
      </c>
      <c r="D319" t="s">
        <v>4</v>
      </c>
      <c r="E319" t="str" cm="1">
        <f t="array" ref="E319">_xlfn.IFS(D319="Eventos particulares","Piloto Junior 1",D319="Federaciones y asociaciones deportivas","Piloto Junior 2",D319="Inspecciones agrícolas","Piloto Senior 1",D319="Inspecciones técnicas","Piloto Senior 2")</f>
        <v>Piloto Senior 2</v>
      </c>
      <c r="F319">
        <v>8.7799999999999994</v>
      </c>
      <c r="G319" s="1" t="str" cm="1">
        <f t="array" ref="G319">_xlfn.IFS(D319="Eventos particulares","225",D319="Federaciones y asociaciones deportivas","250",D319="Inspecciones agrícolas","275",D319="Inspecciones técnicas","300")</f>
        <v>300</v>
      </c>
      <c r="H319" s="1">
        <f>VALUE(Tabla1[[#This Row],[Columna1]])</f>
        <v>300</v>
      </c>
      <c r="I319" s="1">
        <f t="shared" si="4"/>
        <v>2634</v>
      </c>
    </row>
    <row r="320" spans="1:9" x14ac:dyDescent="0.2">
      <c r="A320" s="12" t="s">
        <v>70</v>
      </c>
      <c r="B320" s="12">
        <f>DATEVALUE(Tabla1[[#This Row],[Columna2]])</f>
        <v>45524</v>
      </c>
      <c r="C320" t="s">
        <v>284</v>
      </c>
      <c r="D320" t="s">
        <v>12</v>
      </c>
      <c r="E320" t="str" cm="1">
        <f t="array" ref="E320">_xlfn.IFS(D320="Eventos particulares","Piloto Junior 1",D320="Federaciones y asociaciones deportivas","Piloto Junior 2",D320="Inspecciones agrícolas","Piloto Senior 1",D320="Inspecciones técnicas","Piloto Senior 2")</f>
        <v>Piloto Junior 1</v>
      </c>
      <c r="F320">
        <v>9.57</v>
      </c>
      <c r="G320" s="1" t="str" cm="1">
        <f t="array" ref="G320">_xlfn.IFS(D320="Eventos particulares","225",D320="Federaciones y asociaciones deportivas","250",D320="Inspecciones agrícolas","275",D320="Inspecciones técnicas","300")</f>
        <v>225</v>
      </c>
      <c r="H320" s="1">
        <f>VALUE(Tabla1[[#This Row],[Columna1]])</f>
        <v>225</v>
      </c>
      <c r="I320" s="1">
        <f t="shared" si="4"/>
        <v>2153.25</v>
      </c>
    </row>
    <row r="321" spans="1:9" x14ac:dyDescent="0.2">
      <c r="A321" s="12" t="s">
        <v>70</v>
      </c>
      <c r="B321" s="12">
        <f>DATEVALUE(Tabla1[[#This Row],[Columna2]])</f>
        <v>45524</v>
      </c>
      <c r="C321" t="s">
        <v>285</v>
      </c>
      <c r="D321" t="s">
        <v>4</v>
      </c>
      <c r="E321" t="str" cm="1">
        <f t="array" ref="E321">_xlfn.IFS(D321="Eventos particulares","Piloto Junior 1",D321="Federaciones y asociaciones deportivas","Piloto Junior 2",D321="Inspecciones agrícolas","Piloto Senior 1",D321="Inspecciones técnicas","Piloto Senior 2")</f>
        <v>Piloto Senior 2</v>
      </c>
      <c r="F321">
        <v>13.43</v>
      </c>
      <c r="G321" s="1" t="str" cm="1">
        <f t="array" ref="G321">_xlfn.IFS(D321="Eventos particulares","225",D321="Federaciones y asociaciones deportivas","250",D321="Inspecciones agrícolas","275",D321="Inspecciones técnicas","300")</f>
        <v>300</v>
      </c>
      <c r="H321" s="1">
        <f>VALUE(Tabla1[[#This Row],[Columna1]])</f>
        <v>300</v>
      </c>
      <c r="I321" s="1">
        <f t="shared" si="4"/>
        <v>4029</v>
      </c>
    </row>
    <row r="322" spans="1:9" x14ac:dyDescent="0.2">
      <c r="A322" s="12" t="s">
        <v>70</v>
      </c>
      <c r="B322" s="12">
        <f>DATEVALUE(Tabla1[[#This Row],[Columna2]])</f>
        <v>45524</v>
      </c>
      <c r="C322" t="s">
        <v>285</v>
      </c>
      <c r="D322" t="s">
        <v>4</v>
      </c>
      <c r="E322" t="str" cm="1">
        <f t="array" ref="E322">_xlfn.IFS(D322="Eventos particulares","Piloto Junior 1",D322="Federaciones y asociaciones deportivas","Piloto Junior 2",D322="Inspecciones agrícolas","Piloto Senior 1",D322="Inspecciones técnicas","Piloto Senior 2")</f>
        <v>Piloto Senior 2</v>
      </c>
      <c r="F322">
        <v>13.27</v>
      </c>
      <c r="G322" s="1" t="str" cm="1">
        <f t="array" ref="G322">_xlfn.IFS(D322="Eventos particulares","225",D322="Federaciones y asociaciones deportivas","250",D322="Inspecciones agrícolas","275",D322="Inspecciones técnicas","300")</f>
        <v>300</v>
      </c>
      <c r="H322" s="1">
        <f>VALUE(Tabla1[[#This Row],[Columna1]])</f>
        <v>300</v>
      </c>
      <c r="I322" s="1">
        <f t="shared" ref="I322:I385" si="5">F322*H322</f>
        <v>3981</v>
      </c>
    </row>
    <row r="323" spans="1:9" x14ac:dyDescent="0.2">
      <c r="A323" s="12" t="s">
        <v>123</v>
      </c>
      <c r="B323" s="12">
        <f>DATEVALUE(Tabla1[[#This Row],[Columna2]])</f>
        <v>45525</v>
      </c>
      <c r="C323" t="s">
        <v>284</v>
      </c>
      <c r="D323" t="s">
        <v>6</v>
      </c>
      <c r="E323" t="str" cm="1">
        <f t="array" ref="E323">_xlfn.IFS(D323="Eventos particulares","Piloto Junior 1",D323="Federaciones y asociaciones deportivas","Piloto Junior 2",D323="Inspecciones agrícolas","Piloto Senior 1",D323="Inspecciones técnicas","Piloto Senior 2")</f>
        <v>Piloto Junior 2</v>
      </c>
      <c r="F323">
        <v>4.16</v>
      </c>
      <c r="G323" s="1" t="str" cm="1">
        <f t="array" ref="G323">_xlfn.IFS(D323="Eventos particulares","225",D323="Federaciones y asociaciones deportivas","250",D323="Inspecciones agrícolas","275",D323="Inspecciones técnicas","300")</f>
        <v>250</v>
      </c>
      <c r="H323" s="1">
        <f>VALUE(Tabla1[[#This Row],[Columna1]])</f>
        <v>250</v>
      </c>
      <c r="I323" s="1">
        <f t="shared" si="5"/>
        <v>1040</v>
      </c>
    </row>
    <row r="324" spans="1:9" x14ac:dyDescent="0.2">
      <c r="A324" s="12" t="s">
        <v>123</v>
      </c>
      <c r="B324" s="12">
        <f>DATEVALUE(Tabla1[[#This Row],[Columna2]])</f>
        <v>45525</v>
      </c>
      <c r="C324" t="s">
        <v>286</v>
      </c>
      <c r="D324" t="s">
        <v>12</v>
      </c>
      <c r="E324" t="str" cm="1">
        <f t="array" ref="E324">_xlfn.IFS(D324="Eventos particulares","Piloto Junior 1",D324="Federaciones y asociaciones deportivas","Piloto Junior 2",D324="Inspecciones agrícolas","Piloto Senior 1",D324="Inspecciones técnicas","Piloto Senior 2")</f>
        <v>Piloto Junior 1</v>
      </c>
      <c r="F324">
        <v>14.34</v>
      </c>
      <c r="G324" s="1" t="str" cm="1">
        <f t="array" ref="G324">_xlfn.IFS(D324="Eventos particulares","225",D324="Federaciones y asociaciones deportivas","250",D324="Inspecciones agrícolas","275",D324="Inspecciones técnicas","300")</f>
        <v>225</v>
      </c>
      <c r="H324" s="1">
        <f>VALUE(Tabla1[[#This Row],[Columna1]])</f>
        <v>225</v>
      </c>
      <c r="I324" s="1">
        <f t="shared" si="5"/>
        <v>3226.5</v>
      </c>
    </row>
    <row r="325" spans="1:9" x14ac:dyDescent="0.2">
      <c r="A325" s="12" t="s">
        <v>256</v>
      </c>
      <c r="B325" s="12">
        <f>DATEVALUE(Tabla1[[#This Row],[Columna2]])</f>
        <v>45526</v>
      </c>
      <c r="C325" t="s">
        <v>286</v>
      </c>
      <c r="D325" t="s">
        <v>4</v>
      </c>
      <c r="E325" t="str" cm="1">
        <f t="array" ref="E325">_xlfn.IFS(D325="Eventos particulares","Piloto Junior 1",D325="Federaciones y asociaciones deportivas","Piloto Junior 2",D325="Inspecciones agrícolas","Piloto Senior 1",D325="Inspecciones técnicas","Piloto Senior 2")</f>
        <v>Piloto Senior 2</v>
      </c>
      <c r="F325">
        <v>4.49</v>
      </c>
      <c r="G325" s="1" t="str" cm="1">
        <f t="array" ref="G325">_xlfn.IFS(D325="Eventos particulares","225",D325="Federaciones y asociaciones deportivas","250",D325="Inspecciones agrícolas","275",D325="Inspecciones técnicas","300")</f>
        <v>300</v>
      </c>
      <c r="H325" s="1">
        <f>VALUE(Tabla1[[#This Row],[Columna1]])</f>
        <v>300</v>
      </c>
      <c r="I325" s="1">
        <f t="shared" si="5"/>
        <v>1347</v>
      </c>
    </row>
    <row r="326" spans="1:9" x14ac:dyDescent="0.2">
      <c r="A326" s="12" t="s">
        <v>178</v>
      </c>
      <c r="B326" s="12">
        <f>DATEVALUE(Tabla1[[#This Row],[Columna2]])</f>
        <v>45529</v>
      </c>
      <c r="C326" t="s">
        <v>285</v>
      </c>
      <c r="D326" t="s">
        <v>6</v>
      </c>
      <c r="E326" t="str" cm="1">
        <f t="array" ref="E326">_xlfn.IFS(D326="Eventos particulares","Piloto Junior 1",D326="Federaciones y asociaciones deportivas","Piloto Junior 2",D326="Inspecciones agrícolas","Piloto Senior 1",D326="Inspecciones técnicas","Piloto Senior 2")</f>
        <v>Piloto Junior 2</v>
      </c>
      <c r="F326">
        <v>10.62</v>
      </c>
      <c r="G326" s="1" t="str" cm="1">
        <f t="array" ref="G326">_xlfn.IFS(D326="Eventos particulares","225",D326="Federaciones y asociaciones deportivas","250",D326="Inspecciones agrícolas","275",D326="Inspecciones técnicas","300")</f>
        <v>250</v>
      </c>
      <c r="H326" s="1">
        <f>VALUE(Tabla1[[#This Row],[Columna1]])</f>
        <v>250</v>
      </c>
      <c r="I326" s="1">
        <f t="shared" si="5"/>
        <v>2655</v>
      </c>
    </row>
    <row r="327" spans="1:9" x14ac:dyDescent="0.2">
      <c r="A327" s="12" t="s">
        <v>178</v>
      </c>
      <c r="B327" s="12">
        <f>DATEVALUE(Tabla1[[#This Row],[Columna2]])</f>
        <v>45529</v>
      </c>
      <c r="C327" t="s">
        <v>285</v>
      </c>
      <c r="D327" t="s">
        <v>12</v>
      </c>
      <c r="E327" t="str" cm="1">
        <f t="array" ref="E327">_xlfn.IFS(D327="Eventos particulares","Piloto Junior 1",D327="Federaciones y asociaciones deportivas","Piloto Junior 2",D327="Inspecciones agrícolas","Piloto Senior 1",D327="Inspecciones técnicas","Piloto Senior 2")</f>
        <v>Piloto Junior 1</v>
      </c>
      <c r="F327">
        <v>5.17</v>
      </c>
      <c r="G327" s="1" t="str" cm="1">
        <f t="array" ref="G327">_xlfn.IFS(D327="Eventos particulares","225",D327="Federaciones y asociaciones deportivas","250",D327="Inspecciones agrícolas","275",D327="Inspecciones técnicas","300")</f>
        <v>225</v>
      </c>
      <c r="H327" s="1">
        <f>VALUE(Tabla1[[#This Row],[Columna1]])</f>
        <v>225</v>
      </c>
      <c r="I327" s="1">
        <f t="shared" si="5"/>
        <v>1163.25</v>
      </c>
    </row>
    <row r="328" spans="1:9" x14ac:dyDescent="0.2">
      <c r="A328" s="12" t="s">
        <v>133</v>
      </c>
      <c r="B328" s="12">
        <f>DATEVALUE(Tabla1[[#This Row],[Columna2]])</f>
        <v>45530</v>
      </c>
      <c r="C328" t="s">
        <v>284</v>
      </c>
      <c r="D328" t="s">
        <v>12</v>
      </c>
      <c r="E328" t="str" cm="1">
        <f t="array" ref="E328">_xlfn.IFS(D328="Eventos particulares","Piloto Junior 1",D328="Federaciones y asociaciones deportivas","Piloto Junior 2",D328="Inspecciones agrícolas","Piloto Senior 1",D328="Inspecciones técnicas","Piloto Senior 2")</f>
        <v>Piloto Junior 1</v>
      </c>
      <c r="F328">
        <v>15.73</v>
      </c>
      <c r="G328" s="1" t="str" cm="1">
        <f t="array" ref="G328">_xlfn.IFS(D328="Eventos particulares","225",D328="Federaciones y asociaciones deportivas","250",D328="Inspecciones agrícolas","275",D328="Inspecciones técnicas","300")</f>
        <v>225</v>
      </c>
      <c r="H328" s="1">
        <f>VALUE(Tabla1[[#This Row],[Columna1]])</f>
        <v>225</v>
      </c>
      <c r="I328" s="1">
        <f t="shared" si="5"/>
        <v>3539.25</v>
      </c>
    </row>
    <row r="329" spans="1:9" x14ac:dyDescent="0.2">
      <c r="A329" s="12" t="s">
        <v>105</v>
      </c>
      <c r="B329" s="12">
        <f>DATEVALUE(Tabla1[[#This Row],[Columna2]])</f>
        <v>45531</v>
      </c>
      <c r="C329" t="s">
        <v>284</v>
      </c>
      <c r="D329" t="s">
        <v>12</v>
      </c>
      <c r="E329" t="str" cm="1">
        <f t="array" ref="E329">_xlfn.IFS(D329="Eventos particulares","Piloto Junior 1",D329="Federaciones y asociaciones deportivas","Piloto Junior 2",D329="Inspecciones agrícolas","Piloto Senior 1",D329="Inspecciones técnicas","Piloto Senior 2")</f>
        <v>Piloto Junior 1</v>
      </c>
      <c r="F329">
        <v>14.47</v>
      </c>
      <c r="G329" s="1" t="str" cm="1">
        <f t="array" ref="G329">_xlfn.IFS(D329="Eventos particulares","225",D329="Federaciones y asociaciones deportivas","250",D329="Inspecciones agrícolas","275",D329="Inspecciones técnicas","300")</f>
        <v>225</v>
      </c>
      <c r="H329" s="1">
        <f>VALUE(Tabla1[[#This Row],[Columna1]])</f>
        <v>225</v>
      </c>
      <c r="I329" s="1">
        <f t="shared" si="5"/>
        <v>3255.75</v>
      </c>
    </row>
    <row r="330" spans="1:9" x14ac:dyDescent="0.2">
      <c r="A330" s="12" t="s">
        <v>105</v>
      </c>
      <c r="B330" s="12">
        <f>DATEVALUE(Tabla1[[#This Row],[Columna2]])</f>
        <v>45531</v>
      </c>
      <c r="C330" t="s">
        <v>287</v>
      </c>
      <c r="D330" t="s">
        <v>4</v>
      </c>
      <c r="E330" t="str" cm="1">
        <f t="array" ref="E330">_xlfn.IFS(D330="Eventos particulares","Piloto Junior 1",D330="Federaciones y asociaciones deportivas","Piloto Junior 2",D330="Inspecciones agrícolas","Piloto Senior 1",D330="Inspecciones técnicas","Piloto Senior 2")</f>
        <v>Piloto Senior 2</v>
      </c>
      <c r="F330">
        <v>6.68</v>
      </c>
      <c r="G330" s="1" t="str" cm="1">
        <f t="array" ref="G330">_xlfn.IFS(D330="Eventos particulares","225",D330="Federaciones y asociaciones deportivas","250",D330="Inspecciones agrícolas","275",D330="Inspecciones técnicas","300")</f>
        <v>300</v>
      </c>
      <c r="H330" s="1">
        <f>VALUE(Tabla1[[#This Row],[Columna1]])</f>
        <v>300</v>
      </c>
      <c r="I330" s="1">
        <f t="shared" si="5"/>
        <v>2004</v>
      </c>
    </row>
    <row r="331" spans="1:9" x14ac:dyDescent="0.2">
      <c r="A331" s="12" t="s">
        <v>68</v>
      </c>
      <c r="B331" s="12">
        <f>DATEVALUE(Tabla1[[#This Row],[Columna2]])</f>
        <v>45532</v>
      </c>
      <c r="C331" t="s">
        <v>284</v>
      </c>
      <c r="D331" t="s">
        <v>12</v>
      </c>
      <c r="E331" t="str" cm="1">
        <f t="array" ref="E331">_xlfn.IFS(D331="Eventos particulares","Piloto Junior 1",D331="Federaciones y asociaciones deportivas","Piloto Junior 2",D331="Inspecciones agrícolas","Piloto Senior 1",D331="Inspecciones técnicas","Piloto Senior 2")</f>
        <v>Piloto Junior 1</v>
      </c>
      <c r="F331">
        <v>8.2100000000000009</v>
      </c>
      <c r="G331" s="1" t="str" cm="1">
        <f t="array" ref="G331">_xlfn.IFS(D331="Eventos particulares","225",D331="Federaciones y asociaciones deportivas","250",D331="Inspecciones agrícolas","275",D331="Inspecciones técnicas","300")</f>
        <v>225</v>
      </c>
      <c r="H331" s="1">
        <f>VALUE(Tabla1[[#This Row],[Columna1]])</f>
        <v>225</v>
      </c>
      <c r="I331" s="1">
        <f t="shared" si="5"/>
        <v>1847.2500000000002</v>
      </c>
    </row>
    <row r="332" spans="1:9" x14ac:dyDescent="0.2">
      <c r="A332" s="12" t="s">
        <v>68</v>
      </c>
      <c r="B332" s="12">
        <f>DATEVALUE(Tabla1[[#This Row],[Columna2]])</f>
        <v>45532</v>
      </c>
      <c r="C332" t="s">
        <v>285</v>
      </c>
      <c r="D332" t="s">
        <v>17</v>
      </c>
      <c r="E332" t="str" cm="1">
        <f t="array" ref="E332">_xlfn.IFS(D332="Eventos particulares","Piloto Junior 1",D332="Federaciones y asociaciones deportivas","Piloto Junior 2",D332="Inspecciones agrícolas","Piloto Senior 1",D332="Inspecciones técnicas","Piloto Senior 2")</f>
        <v>Piloto Senior 1</v>
      </c>
      <c r="F332">
        <v>14.26</v>
      </c>
      <c r="G332" s="1" t="str" cm="1">
        <f t="array" ref="G332">_xlfn.IFS(D332="Eventos particulares","225",D332="Federaciones y asociaciones deportivas","250",D332="Inspecciones agrícolas","275",D332="Inspecciones técnicas","300")</f>
        <v>275</v>
      </c>
      <c r="H332" s="1">
        <f>VALUE(Tabla1[[#This Row],[Columna1]])</f>
        <v>275</v>
      </c>
      <c r="I332" s="1">
        <f t="shared" si="5"/>
        <v>3921.5</v>
      </c>
    </row>
    <row r="333" spans="1:9" x14ac:dyDescent="0.2">
      <c r="A333" s="12" t="s">
        <v>16</v>
      </c>
      <c r="B333" s="12">
        <f>DATEVALUE(Tabla1[[#This Row],[Columna2]])</f>
        <v>45533</v>
      </c>
      <c r="C333" t="s">
        <v>284</v>
      </c>
      <c r="D333" t="s">
        <v>17</v>
      </c>
      <c r="E333" t="str" cm="1">
        <f t="array" ref="E333">_xlfn.IFS(D333="Eventos particulares","Piloto Junior 1",D333="Federaciones y asociaciones deportivas","Piloto Junior 2",D333="Inspecciones agrícolas","Piloto Senior 1",D333="Inspecciones técnicas","Piloto Senior 2")</f>
        <v>Piloto Senior 1</v>
      </c>
      <c r="F333">
        <v>15.53</v>
      </c>
      <c r="G333" s="1" t="str" cm="1">
        <f t="array" ref="G333">_xlfn.IFS(D333="Eventos particulares","225",D333="Federaciones y asociaciones deportivas","250",D333="Inspecciones agrícolas","275",D333="Inspecciones técnicas","300")</f>
        <v>275</v>
      </c>
      <c r="H333" s="1">
        <f>VALUE(Tabla1[[#This Row],[Columna1]])</f>
        <v>275</v>
      </c>
      <c r="I333" s="1">
        <f t="shared" si="5"/>
        <v>4270.75</v>
      </c>
    </row>
    <row r="334" spans="1:9" x14ac:dyDescent="0.2">
      <c r="A334" s="12" t="s">
        <v>16</v>
      </c>
      <c r="B334" s="12">
        <f>DATEVALUE(Tabla1[[#This Row],[Columna2]])</f>
        <v>45533</v>
      </c>
      <c r="C334" t="s">
        <v>284</v>
      </c>
      <c r="D334" t="s">
        <v>17</v>
      </c>
      <c r="E334" t="str" cm="1">
        <f t="array" ref="E334">_xlfn.IFS(D334="Eventos particulares","Piloto Junior 1",D334="Federaciones y asociaciones deportivas","Piloto Junior 2",D334="Inspecciones agrícolas","Piloto Senior 1",D334="Inspecciones técnicas","Piloto Senior 2")</f>
        <v>Piloto Senior 1</v>
      </c>
      <c r="F334">
        <v>8.1999999999999993</v>
      </c>
      <c r="G334" s="1" t="str" cm="1">
        <f t="array" ref="G334">_xlfn.IFS(D334="Eventos particulares","225",D334="Federaciones y asociaciones deportivas","250",D334="Inspecciones agrícolas","275",D334="Inspecciones técnicas","300")</f>
        <v>275</v>
      </c>
      <c r="H334" s="1">
        <f>VALUE(Tabla1[[#This Row],[Columna1]])</f>
        <v>275</v>
      </c>
      <c r="I334" s="1">
        <f t="shared" si="5"/>
        <v>2255</v>
      </c>
    </row>
    <row r="335" spans="1:9" x14ac:dyDescent="0.2">
      <c r="A335" s="12" t="s">
        <v>43</v>
      </c>
      <c r="B335" s="12">
        <f>DATEVALUE(Tabla1[[#This Row],[Columna2]])</f>
        <v>45535</v>
      </c>
      <c r="C335" t="s">
        <v>284</v>
      </c>
      <c r="D335" t="s">
        <v>4</v>
      </c>
      <c r="E335" t="str" cm="1">
        <f t="array" ref="E335">_xlfn.IFS(D335="Eventos particulares","Piloto Junior 1",D335="Federaciones y asociaciones deportivas","Piloto Junior 2",D335="Inspecciones agrícolas","Piloto Senior 1",D335="Inspecciones técnicas","Piloto Senior 2")</f>
        <v>Piloto Senior 2</v>
      </c>
      <c r="F335">
        <v>13.61</v>
      </c>
      <c r="G335" s="1" t="str" cm="1">
        <f t="array" ref="G335">_xlfn.IFS(D335="Eventos particulares","225",D335="Federaciones y asociaciones deportivas","250",D335="Inspecciones agrícolas","275",D335="Inspecciones técnicas","300")</f>
        <v>300</v>
      </c>
      <c r="H335" s="1">
        <f>VALUE(Tabla1[[#This Row],[Columna1]])</f>
        <v>300</v>
      </c>
      <c r="I335" s="1">
        <f t="shared" si="5"/>
        <v>4083</v>
      </c>
    </row>
    <row r="336" spans="1:9" x14ac:dyDescent="0.2">
      <c r="A336" s="12" t="s">
        <v>43</v>
      </c>
      <c r="B336" s="12">
        <f>DATEVALUE(Tabla1[[#This Row],[Columna2]])</f>
        <v>45535</v>
      </c>
      <c r="C336" t="s">
        <v>284</v>
      </c>
      <c r="D336" t="s">
        <v>4</v>
      </c>
      <c r="E336" t="str" cm="1">
        <f t="array" ref="E336">_xlfn.IFS(D336="Eventos particulares","Piloto Junior 1",D336="Federaciones y asociaciones deportivas","Piloto Junior 2",D336="Inspecciones agrícolas","Piloto Senior 1",D336="Inspecciones técnicas","Piloto Senior 2")</f>
        <v>Piloto Senior 2</v>
      </c>
      <c r="F336">
        <v>9.49</v>
      </c>
      <c r="G336" s="1" t="str" cm="1">
        <f t="array" ref="G336">_xlfn.IFS(D336="Eventos particulares","225",D336="Federaciones y asociaciones deportivas","250",D336="Inspecciones agrícolas","275",D336="Inspecciones técnicas","300")</f>
        <v>300</v>
      </c>
      <c r="H336" s="1">
        <f>VALUE(Tabla1[[#This Row],[Columna1]])</f>
        <v>300</v>
      </c>
      <c r="I336" s="1">
        <f t="shared" si="5"/>
        <v>2847</v>
      </c>
    </row>
    <row r="337" spans="1:9" x14ac:dyDescent="0.2">
      <c r="A337" s="12" t="s">
        <v>43</v>
      </c>
      <c r="B337" s="12">
        <f>DATEVALUE(Tabla1[[#This Row],[Columna2]])</f>
        <v>45535</v>
      </c>
      <c r="C337" t="s">
        <v>285</v>
      </c>
      <c r="D337" t="s">
        <v>17</v>
      </c>
      <c r="E337" t="str" cm="1">
        <f t="array" ref="E337">_xlfn.IFS(D337="Eventos particulares","Piloto Junior 1",D337="Federaciones y asociaciones deportivas","Piloto Junior 2",D337="Inspecciones agrícolas","Piloto Senior 1",D337="Inspecciones técnicas","Piloto Senior 2")</f>
        <v>Piloto Senior 1</v>
      </c>
      <c r="F337">
        <v>11.13</v>
      </c>
      <c r="G337" s="1" t="str" cm="1">
        <f t="array" ref="G337">_xlfn.IFS(D337="Eventos particulares","225",D337="Federaciones y asociaciones deportivas","250",D337="Inspecciones agrícolas","275",D337="Inspecciones técnicas","300")</f>
        <v>275</v>
      </c>
      <c r="H337" s="1">
        <f>VALUE(Tabla1[[#This Row],[Columna1]])</f>
        <v>275</v>
      </c>
      <c r="I337" s="1">
        <f t="shared" si="5"/>
        <v>3060.75</v>
      </c>
    </row>
    <row r="338" spans="1:9" x14ac:dyDescent="0.2">
      <c r="A338" s="12" t="s">
        <v>127</v>
      </c>
      <c r="B338" s="12">
        <f>DATEVALUE(Tabla1[[#This Row],[Columna2]])</f>
        <v>45536</v>
      </c>
      <c r="C338" t="s">
        <v>284</v>
      </c>
      <c r="D338" t="s">
        <v>4</v>
      </c>
      <c r="E338" t="str" cm="1">
        <f t="array" ref="E338">_xlfn.IFS(D338="Eventos particulares","Piloto Junior 1",D338="Federaciones y asociaciones deportivas","Piloto Junior 2",D338="Inspecciones agrícolas","Piloto Senior 1",D338="Inspecciones técnicas","Piloto Senior 2")</f>
        <v>Piloto Senior 2</v>
      </c>
      <c r="F338">
        <v>10.93</v>
      </c>
      <c r="G338" s="1" t="str" cm="1">
        <f t="array" ref="G338">_xlfn.IFS(D338="Eventos particulares","225",D338="Federaciones y asociaciones deportivas","250",D338="Inspecciones agrícolas","275",D338="Inspecciones técnicas","300")</f>
        <v>300</v>
      </c>
      <c r="H338" s="1">
        <f>VALUE(Tabla1[[#This Row],[Columna1]])</f>
        <v>300</v>
      </c>
      <c r="I338" s="1">
        <f t="shared" si="5"/>
        <v>3279</v>
      </c>
    </row>
    <row r="339" spans="1:9" x14ac:dyDescent="0.2">
      <c r="A339" s="12" t="s">
        <v>127</v>
      </c>
      <c r="B339" s="12">
        <f>DATEVALUE(Tabla1[[#This Row],[Columna2]])</f>
        <v>45536</v>
      </c>
      <c r="C339" t="s">
        <v>284</v>
      </c>
      <c r="D339" t="s">
        <v>4</v>
      </c>
      <c r="E339" t="str" cm="1">
        <f t="array" ref="E339">_xlfn.IFS(D339="Eventos particulares","Piloto Junior 1",D339="Federaciones y asociaciones deportivas","Piloto Junior 2",D339="Inspecciones agrícolas","Piloto Senior 1",D339="Inspecciones técnicas","Piloto Senior 2")</f>
        <v>Piloto Senior 2</v>
      </c>
      <c r="F339">
        <v>13.36</v>
      </c>
      <c r="G339" s="1" t="str" cm="1">
        <f t="array" ref="G339">_xlfn.IFS(D339="Eventos particulares","225",D339="Federaciones y asociaciones deportivas","250",D339="Inspecciones agrícolas","275",D339="Inspecciones técnicas","300")</f>
        <v>300</v>
      </c>
      <c r="H339" s="1">
        <f>VALUE(Tabla1[[#This Row],[Columna1]])</f>
        <v>300</v>
      </c>
      <c r="I339" s="1">
        <f t="shared" si="5"/>
        <v>4008</v>
      </c>
    </row>
    <row r="340" spans="1:9" x14ac:dyDescent="0.2">
      <c r="A340" s="12" t="s">
        <v>127</v>
      </c>
      <c r="B340" s="12">
        <f>DATEVALUE(Tabla1[[#This Row],[Columna2]])</f>
        <v>45536</v>
      </c>
      <c r="C340" t="s">
        <v>285</v>
      </c>
      <c r="D340" t="s">
        <v>12</v>
      </c>
      <c r="E340" t="str" cm="1">
        <f t="array" ref="E340">_xlfn.IFS(D340="Eventos particulares","Piloto Junior 1",D340="Federaciones y asociaciones deportivas","Piloto Junior 2",D340="Inspecciones agrícolas","Piloto Senior 1",D340="Inspecciones técnicas","Piloto Senior 2")</f>
        <v>Piloto Junior 1</v>
      </c>
      <c r="F340">
        <v>6.42</v>
      </c>
      <c r="G340" s="1" t="str" cm="1">
        <f t="array" ref="G340">_xlfn.IFS(D340="Eventos particulares","225",D340="Federaciones y asociaciones deportivas","250",D340="Inspecciones agrícolas","275",D340="Inspecciones técnicas","300")</f>
        <v>225</v>
      </c>
      <c r="H340" s="1">
        <f>VALUE(Tabla1[[#This Row],[Columna1]])</f>
        <v>225</v>
      </c>
      <c r="I340" s="1">
        <f t="shared" si="5"/>
        <v>1444.5</v>
      </c>
    </row>
    <row r="341" spans="1:9" x14ac:dyDescent="0.2">
      <c r="A341" s="12" t="s">
        <v>58</v>
      </c>
      <c r="B341" s="12">
        <f>DATEVALUE(Tabla1[[#This Row],[Columna2]])</f>
        <v>45537</v>
      </c>
      <c r="C341" t="s">
        <v>284</v>
      </c>
      <c r="D341" t="s">
        <v>4</v>
      </c>
      <c r="E341" t="str" cm="1">
        <f t="array" ref="E341">_xlfn.IFS(D341="Eventos particulares","Piloto Junior 1",D341="Federaciones y asociaciones deportivas","Piloto Junior 2",D341="Inspecciones agrícolas","Piloto Senior 1",D341="Inspecciones técnicas","Piloto Senior 2")</f>
        <v>Piloto Senior 2</v>
      </c>
      <c r="F341">
        <v>7.04</v>
      </c>
      <c r="G341" s="1" t="str" cm="1">
        <f t="array" ref="G341">_xlfn.IFS(D341="Eventos particulares","225",D341="Federaciones y asociaciones deportivas","250",D341="Inspecciones agrícolas","275",D341="Inspecciones técnicas","300")</f>
        <v>300</v>
      </c>
      <c r="H341" s="1">
        <f>VALUE(Tabla1[[#This Row],[Columna1]])</f>
        <v>300</v>
      </c>
      <c r="I341" s="1">
        <f t="shared" si="5"/>
        <v>2112</v>
      </c>
    </row>
    <row r="342" spans="1:9" x14ac:dyDescent="0.2">
      <c r="A342" s="12" t="s">
        <v>260</v>
      </c>
      <c r="B342" s="12">
        <f>DATEVALUE(Tabla1[[#This Row],[Columna2]])</f>
        <v>45538</v>
      </c>
      <c r="C342" t="s">
        <v>286</v>
      </c>
      <c r="D342" t="s">
        <v>4</v>
      </c>
      <c r="E342" t="str" cm="1">
        <f t="array" ref="E342">_xlfn.IFS(D342="Eventos particulares","Piloto Junior 1",D342="Federaciones y asociaciones deportivas","Piloto Junior 2",D342="Inspecciones agrícolas","Piloto Senior 1",D342="Inspecciones técnicas","Piloto Senior 2")</f>
        <v>Piloto Senior 2</v>
      </c>
      <c r="F342">
        <v>13.19</v>
      </c>
      <c r="G342" s="1" t="str" cm="1">
        <f t="array" ref="G342">_xlfn.IFS(D342="Eventos particulares","225",D342="Federaciones y asociaciones deportivas","250",D342="Inspecciones agrícolas","275",D342="Inspecciones técnicas","300")</f>
        <v>300</v>
      </c>
      <c r="H342" s="1">
        <f>VALUE(Tabla1[[#This Row],[Columna1]])</f>
        <v>300</v>
      </c>
      <c r="I342" s="1">
        <f t="shared" si="5"/>
        <v>3957</v>
      </c>
    </row>
    <row r="343" spans="1:9" x14ac:dyDescent="0.2">
      <c r="A343" s="12" t="s">
        <v>260</v>
      </c>
      <c r="B343" s="12">
        <f>DATEVALUE(Tabla1[[#This Row],[Columna2]])</f>
        <v>45538</v>
      </c>
      <c r="C343" t="s">
        <v>287</v>
      </c>
      <c r="D343" t="s">
        <v>4</v>
      </c>
      <c r="E343" t="str" cm="1">
        <f t="array" ref="E343">_xlfn.IFS(D343="Eventos particulares","Piloto Junior 1",D343="Federaciones y asociaciones deportivas","Piloto Junior 2",D343="Inspecciones agrícolas","Piloto Senior 1",D343="Inspecciones técnicas","Piloto Senior 2")</f>
        <v>Piloto Senior 2</v>
      </c>
      <c r="F343">
        <v>9.36</v>
      </c>
      <c r="G343" s="1" t="str" cm="1">
        <f t="array" ref="G343">_xlfn.IFS(D343="Eventos particulares","225",D343="Federaciones y asociaciones deportivas","250",D343="Inspecciones agrícolas","275",D343="Inspecciones técnicas","300")</f>
        <v>300</v>
      </c>
      <c r="H343" s="1">
        <f>VALUE(Tabla1[[#This Row],[Columna1]])</f>
        <v>300</v>
      </c>
      <c r="I343" s="1">
        <f t="shared" si="5"/>
        <v>2808</v>
      </c>
    </row>
    <row r="344" spans="1:9" x14ac:dyDescent="0.2">
      <c r="A344" s="12" t="s">
        <v>185</v>
      </c>
      <c r="B344" s="12">
        <f>DATEVALUE(Tabla1[[#This Row],[Columna2]])</f>
        <v>45540</v>
      </c>
      <c r="C344" t="s">
        <v>285</v>
      </c>
      <c r="D344" t="s">
        <v>12</v>
      </c>
      <c r="E344" t="str" cm="1">
        <f t="array" ref="E344">_xlfn.IFS(D344="Eventos particulares","Piloto Junior 1",D344="Federaciones y asociaciones deportivas","Piloto Junior 2",D344="Inspecciones agrícolas","Piloto Senior 1",D344="Inspecciones técnicas","Piloto Senior 2")</f>
        <v>Piloto Junior 1</v>
      </c>
      <c r="F344">
        <v>7.05</v>
      </c>
      <c r="G344" s="1" t="str" cm="1">
        <f t="array" ref="G344">_xlfn.IFS(D344="Eventos particulares","225",D344="Federaciones y asociaciones deportivas","250",D344="Inspecciones agrícolas","275",D344="Inspecciones técnicas","300")</f>
        <v>225</v>
      </c>
      <c r="H344" s="1">
        <f>VALUE(Tabla1[[#This Row],[Columna1]])</f>
        <v>225</v>
      </c>
      <c r="I344" s="1">
        <f t="shared" si="5"/>
        <v>1586.25</v>
      </c>
    </row>
    <row r="345" spans="1:9" x14ac:dyDescent="0.2">
      <c r="A345" s="12" t="s">
        <v>185</v>
      </c>
      <c r="B345" s="12">
        <f>DATEVALUE(Tabla1[[#This Row],[Columna2]])</f>
        <v>45540</v>
      </c>
      <c r="C345" t="s">
        <v>287</v>
      </c>
      <c r="D345" t="s">
        <v>4</v>
      </c>
      <c r="E345" t="str" cm="1">
        <f t="array" ref="E345">_xlfn.IFS(D345="Eventos particulares","Piloto Junior 1",D345="Federaciones y asociaciones deportivas","Piloto Junior 2",D345="Inspecciones agrícolas","Piloto Senior 1",D345="Inspecciones técnicas","Piloto Senior 2")</f>
        <v>Piloto Senior 2</v>
      </c>
      <c r="F345">
        <v>14.44</v>
      </c>
      <c r="G345" s="1" t="str" cm="1">
        <f t="array" ref="G345">_xlfn.IFS(D345="Eventos particulares","225",D345="Federaciones y asociaciones deportivas","250",D345="Inspecciones agrícolas","275",D345="Inspecciones técnicas","300")</f>
        <v>300</v>
      </c>
      <c r="H345" s="1">
        <f>VALUE(Tabla1[[#This Row],[Columna1]])</f>
        <v>300</v>
      </c>
      <c r="I345" s="1">
        <f t="shared" si="5"/>
        <v>4332</v>
      </c>
    </row>
    <row r="346" spans="1:9" x14ac:dyDescent="0.2">
      <c r="A346" s="12" t="s">
        <v>79</v>
      </c>
      <c r="B346" s="12">
        <f>DATEVALUE(Tabla1[[#This Row],[Columna2]])</f>
        <v>45541</v>
      </c>
      <c r="C346" t="s">
        <v>284</v>
      </c>
      <c r="D346" t="s">
        <v>12</v>
      </c>
      <c r="E346" t="str" cm="1">
        <f t="array" ref="E346">_xlfn.IFS(D346="Eventos particulares","Piloto Junior 1",D346="Federaciones y asociaciones deportivas","Piloto Junior 2",D346="Inspecciones agrícolas","Piloto Senior 1",D346="Inspecciones técnicas","Piloto Senior 2")</f>
        <v>Piloto Junior 1</v>
      </c>
      <c r="F346">
        <v>7.27</v>
      </c>
      <c r="G346" s="1" t="str" cm="1">
        <f t="array" ref="G346">_xlfn.IFS(D346="Eventos particulares","225",D346="Federaciones y asociaciones deportivas","250",D346="Inspecciones agrícolas","275",D346="Inspecciones técnicas","300")</f>
        <v>225</v>
      </c>
      <c r="H346" s="1">
        <f>VALUE(Tabla1[[#This Row],[Columna1]])</f>
        <v>225</v>
      </c>
      <c r="I346" s="1">
        <f t="shared" si="5"/>
        <v>1635.75</v>
      </c>
    </row>
    <row r="347" spans="1:9" x14ac:dyDescent="0.2">
      <c r="A347" s="12" t="s">
        <v>79</v>
      </c>
      <c r="B347" s="12">
        <f>DATEVALUE(Tabla1[[#This Row],[Columna2]])</f>
        <v>45541</v>
      </c>
      <c r="C347" t="s">
        <v>285</v>
      </c>
      <c r="D347" t="s">
        <v>12</v>
      </c>
      <c r="E347" t="str" cm="1">
        <f t="array" ref="E347">_xlfn.IFS(D347="Eventos particulares","Piloto Junior 1",D347="Federaciones y asociaciones deportivas","Piloto Junior 2",D347="Inspecciones agrícolas","Piloto Senior 1",D347="Inspecciones técnicas","Piloto Senior 2")</f>
        <v>Piloto Junior 1</v>
      </c>
      <c r="F347">
        <v>8.52</v>
      </c>
      <c r="G347" s="1" t="str" cm="1">
        <f t="array" ref="G347">_xlfn.IFS(D347="Eventos particulares","225",D347="Federaciones y asociaciones deportivas","250",D347="Inspecciones agrícolas","275",D347="Inspecciones técnicas","300")</f>
        <v>225</v>
      </c>
      <c r="H347" s="1">
        <f>VALUE(Tabla1[[#This Row],[Columna1]])</f>
        <v>225</v>
      </c>
      <c r="I347" s="1">
        <f t="shared" si="5"/>
        <v>1917</v>
      </c>
    </row>
    <row r="348" spans="1:9" x14ac:dyDescent="0.2">
      <c r="A348" s="12" t="s">
        <v>86</v>
      </c>
      <c r="B348" s="12">
        <f>DATEVALUE(Tabla1[[#This Row],[Columna2]])</f>
        <v>45542</v>
      </c>
      <c r="C348" t="s">
        <v>284</v>
      </c>
      <c r="D348" t="s">
        <v>17</v>
      </c>
      <c r="E348" t="str" cm="1">
        <f t="array" ref="E348">_xlfn.IFS(D348="Eventos particulares","Piloto Junior 1",D348="Federaciones y asociaciones deportivas","Piloto Junior 2",D348="Inspecciones agrícolas","Piloto Senior 1",D348="Inspecciones técnicas","Piloto Senior 2")</f>
        <v>Piloto Senior 1</v>
      </c>
      <c r="F348">
        <v>8.4600000000000009</v>
      </c>
      <c r="G348" s="1" t="str" cm="1">
        <f t="array" ref="G348">_xlfn.IFS(D348="Eventos particulares","225",D348="Federaciones y asociaciones deportivas","250",D348="Inspecciones agrícolas","275",D348="Inspecciones técnicas","300")</f>
        <v>275</v>
      </c>
      <c r="H348" s="1">
        <f>VALUE(Tabla1[[#This Row],[Columna1]])</f>
        <v>275</v>
      </c>
      <c r="I348" s="1">
        <f t="shared" si="5"/>
        <v>2326.5000000000005</v>
      </c>
    </row>
    <row r="349" spans="1:9" x14ac:dyDescent="0.2">
      <c r="A349" s="12" t="s">
        <v>107</v>
      </c>
      <c r="B349" s="12">
        <f>DATEVALUE(Tabla1[[#This Row],[Columna2]])</f>
        <v>45543</v>
      </c>
      <c r="C349" t="s">
        <v>284</v>
      </c>
      <c r="D349" t="s">
        <v>4</v>
      </c>
      <c r="E349" t="str" cm="1">
        <f t="array" ref="E349">_xlfn.IFS(D349="Eventos particulares","Piloto Junior 1",D349="Federaciones y asociaciones deportivas","Piloto Junior 2",D349="Inspecciones agrícolas","Piloto Senior 1",D349="Inspecciones técnicas","Piloto Senior 2")</f>
        <v>Piloto Senior 2</v>
      </c>
      <c r="F349">
        <v>11.43</v>
      </c>
      <c r="G349" s="1" t="str" cm="1">
        <f t="array" ref="G349">_xlfn.IFS(D349="Eventos particulares","225",D349="Federaciones y asociaciones deportivas","250",D349="Inspecciones agrícolas","275",D349="Inspecciones técnicas","300")</f>
        <v>300</v>
      </c>
      <c r="H349" s="1">
        <f>VALUE(Tabla1[[#This Row],[Columna1]])</f>
        <v>300</v>
      </c>
      <c r="I349" s="1">
        <f t="shared" si="5"/>
        <v>3429</v>
      </c>
    </row>
    <row r="350" spans="1:9" x14ac:dyDescent="0.2">
      <c r="A350" s="12" t="s">
        <v>39</v>
      </c>
      <c r="B350" s="12">
        <f>DATEVALUE(Tabla1[[#This Row],[Columna2]])</f>
        <v>45545</v>
      </c>
      <c r="C350" t="s">
        <v>284</v>
      </c>
      <c r="D350" t="s">
        <v>12</v>
      </c>
      <c r="E350" t="str" cm="1">
        <f t="array" ref="E350">_xlfn.IFS(D350="Eventos particulares","Piloto Junior 1",D350="Federaciones y asociaciones deportivas","Piloto Junior 2",D350="Inspecciones agrícolas","Piloto Senior 1",D350="Inspecciones técnicas","Piloto Senior 2")</f>
        <v>Piloto Junior 1</v>
      </c>
      <c r="F350">
        <v>13.44</v>
      </c>
      <c r="G350" s="1" t="str" cm="1">
        <f t="array" ref="G350">_xlfn.IFS(D350="Eventos particulares","225",D350="Federaciones y asociaciones deportivas","250",D350="Inspecciones agrícolas","275",D350="Inspecciones técnicas","300")</f>
        <v>225</v>
      </c>
      <c r="H350" s="1">
        <f>VALUE(Tabla1[[#This Row],[Columna1]])</f>
        <v>225</v>
      </c>
      <c r="I350" s="1">
        <f t="shared" si="5"/>
        <v>3024</v>
      </c>
    </row>
    <row r="351" spans="1:9" x14ac:dyDescent="0.2">
      <c r="A351" s="12" t="s">
        <v>39</v>
      </c>
      <c r="B351" s="12">
        <f>DATEVALUE(Tabla1[[#This Row],[Columna2]])</f>
        <v>45545</v>
      </c>
      <c r="C351" t="s">
        <v>286</v>
      </c>
      <c r="D351" t="s">
        <v>4</v>
      </c>
      <c r="E351" t="str" cm="1">
        <f t="array" ref="E351">_xlfn.IFS(D351="Eventos particulares","Piloto Junior 1",D351="Federaciones y asociaciones deportivas","Piloto Junior 2",D351="Inspecciones agrícolas","Piloto Senior 1",D351="Inspecciones técnicas","Piloto Senior 2")</f>
        <v>Piloto Senior 2</v>
      </c>
      <c r="F351">
        <v>13.89</v>
      </c>
      <c r="G351" s="1" t="str" cm="1">
        <f t="array" ref="G351">_xlfn.IFS(D351="Eventos particulares","225",D351="Federaciones y asociaciones deportivas","250",D351="Inspecciones agrícolas","275",D351="Inspecciones técnicas","300")</f>
        <v>300</v>
      </c>
      <c r="H351" s="1">
        <f>VALUE(Tabla1[[#This Row],[Columna1]])</f>
        <v>300</v>
      </c>
      <c r="I351" s="1">
        <f t="shared" si="5"/>
        <v>4167</v>
      </c>
    </row>
    <row r="352" spans="1:9" x14ac:dyDescent="0.2">
      <c r="A352" s="12" t="s">
        <v>69</v>
      </c>
      <c r="B352" s="12">
        <f>DATEVALUE(Tabla1[[#This Row],[Columna2]])</f>
        <v>45547</v>
      </c>
      <c r="C352" t="s">
        <v>284</v>
      </c>
      <c r="D352" t="s">
        <v>17</v>
      </c>
      <c r="E352" t="str" cm="1">
        <f t="array" ref="E352">_xlfn.IFS(D352="Eventos particulares","Piloto Junior 1",D352="Federaciones y asociaciones deportivas","Piloto Junior 2",D352="Inspecciones agrícolas","Piloto Senior 1",D352="Inspecciones técnicas","Piloto Senior 2")</f>
        <v>Piloto Senior 1</v>
      </c>
      <c r="F352">
        <v>12.2</v>
      </c>
      <c r="G352" s="1" t="str" cm="1">
        <f t="array" ref="G352">_xlfn.IFS(D352="Eventos particulares","225",D352="Federaciones y asociaciones deportivas","250",D352="Inspecciones agrícolas","275",D352="Inspecciones técnicas","300")</f>
        <v>275</v>
      </c>
      <c r="H352" s="1">
        <f>VALUE(Tabla1[[#This Row],[Columna1]])</f>
        <v>275</v>
      </c>
      <c r="I352" s="1">
        <f t="shared" si="5"/>
        <v>3355</v>
      </c>
    </row>
    <row r="353" spans="1:9" x14ac:dyDescent="0.2">
      <c r="A353" s="12" t="s">
        <v>69</v>
      </c>
      <c r="B353" s="12">
        <f>DATEVALUE(Tabla1[[#This Row],[Columna2]])</f>
        <v>45547</v>
      </c>
      <c r="C353" t="s">
        <v>286</v>
      </c>
      <c r="D353" t="s">
        <v>17</v>
      </c>
      <c r="E353" t="str" cm="1">
        <f t="array" ref="E353">_xlfn.IFS(D353="Eventos particulares","Piloto Junior 1",D353="Federaciones y asociaciones deportivas","Piloto Junior 2",D353="Inspecciones agrícolas","Piloto Senior 1",D353="Inspecciones técnicas","Piloto Senior 2")</f>
        <v>Piloto Senior 1</v>
      </c>
      <c r="F353">
        <v>12.52</v>
      </c>
      <c r="G353" s="1" t="str" cm="1">
        <f t="array" ref="G353">_xlfn.IFS(D353="Eventos particulares","225",D353="Federaciones y asociaciones deportivas","250",D353="Inspecciones agrícolas","275",D353="Inspecciones técnicas","300")</f>
        <v>275</v>
      </c>
      <c r="H353" s="1">
        <f>VALUE(Tabla1[[#This Row],[Columna1]])</f>
        <v>275</v>
      </c>
      <c r="I353" s="1">
        <f t="shared" si="5"/>
        <v>3443</v>
      </c>
    </row>
    <row r="354" spans="1:9" x14ac:dyDescent="0.2">
      <c r="A354" s="12" t="s">
        <v>84</v>
      </c>
      <c r="B354" s="12">
        <f>DATEVALUE(Tabla1[[#This Row],[Columna2]])</f>
        <v>45548</v>
      </c>
      <c r="C354" t="s">
        <v>284</v>
      </c>
      <c r="D354" t="s">
        <v>4</v>
      </c>
      <c r="E354" t="str" cm="1">
        <f t="array" ref="E354">_xlfn.IFS(D354="Eventos particulares","Piloto Junior 1",D354="Federaciones y asociaciones deportivas","Piloto Junior 2",D354="Inspecciones agrícolas","Piloto Senior 1",D354="Inspecciones técnicas","Piloto Senior 2")</f>
        <v>Piloto Senior 2</v>
      </c>
      <c r="F354">
        <v>7.85</v>
      </c>
      <c r="G354" s="1" t="str" cm="1">
        <f t="array" ref="G354">_xlfn.IFS(D354="Eventos particulares","225",D354="Federaciones y asociaciones deportivas","250",D354="Inspecciones agrícolas","275",D354="Inspecciones técnicas","300")</f>
        <v>300</v>
      </c>
      <c r="H354" s="1">
        <f>VALUE(Tabla1[[#This Row],[Columna1]])</f>
        <v>300</v>
      </c>
      <c r="I354" s="1">
        <f t="shared" si="5"/>
        <v>2355</v>
      </c>
    </row>
    <row r="355" spans="1:9" x14ac:dyDescent="0.2">
      <c r="A355" s="12" t="s">
        <v>84</v>
      </c>
      <c r="B355" s="12">
        <f>DATEVALUE(Tabla1[[#This Row],[Columna2]])</f>
        <v>45548</v>
      </c>
      <c r="C355" t="s">
        <v>285</v>
      </c>
      <c r="D355" t="s">
        <v>4</v>
      </c>
      <c r="E355" t="str" cm="1">
        <f t="array" ref="E355">_xlfn.IFS(D355="Eventos particulares","Piloto Junior 1",D355="Federaciones y asociaciones deportivas","Piloto Junior 2",D355="Inspecciones agrícolas","Piloto Senior 1",D355="Inspecciones técnicas","Piloto Senior 2")</f>
        <v>Piloto Senior 2</v>
      </c>
      <c r="F355">
        <v>11.76</v>
      </c>
      <c r="G355" s="1" t="str" cm="1">
        <f t="array" ref="G355">_xlfn.IFS(D355="Eventos particulares","225",D355="Federaciones y asociaciones deportivas","250",D355="Inspecciones agrícolas","275",D355="Inspecciones técnicas","300")</f>
        <v>300</v>
      </c>
      <c r="H355" s="1">
        <f>VALUE(Tabla1[[#This Row],[Columna1]])</f>
        <v>300</v>
      </c>
      <c r="I355" s="1">
        <f t="shared" si="5"/>
        <v>3528</v>
      </c>
    </row>
    <row r="356" spans="1:9" x14ac:dyDescent="0.2">
      <c r="A356" s="12" t="s">
        <v>261</v>
      </c>
      <c r="B356" s="12">
        <f>DATEVALUE(Tabla1[[#This Row],[Columna2]])</f>
        <v>45550</v>
      </c>
      <c r="C356" t="s">
        <v>286</v>
      </c>
      <c r="D356" t="s">
        <v>4</v>
      </c>
      <c r="E356" t="str" cm="1">
        <f t="array" ref="E356">_xlfn.IFS(D356="Eventos particulares","Piloto Junior 1",D356="Federaciones y asociaciones deportivas","Piloto Junior 2",D356="Inspecciones agrícolas","Piloto Senior 1",D356="Inspecciones técnicas","Piloto Senior 2")</f>
        <v>Piloto Senior 2</v>
      </c>
      <c r="F356">
        <v>14.57</v>
      </c>
      <c r="G356" s="1" t="str" cm="1">
        <f t="array" ref="G356">_xlfn.IFS(D356="Eventos particulares","225",D356="Federaciones y asociaciones deportivas","250",D356="Inspecciones agrícolas","275",D356="Inspecciones técnicas","300")</f>
        <v>300</v>
      </c>
      <c r="H356" s="1">
        <f>VALUE(Tabla1[[#This Row],[Columna1]])</f>
        <v>300</v>
      </c>
      <c r="I356" s="1">
        <f t="shared" si="5"/>
        <v>4371</v>
      </c>
    </row>
    <row r="357" spans="1:9" x14ac:dyDescent="0.2">
      <c r="A357" s="12" t="s">
        <v>161</v>
      </c>
      <c r="B357" s="12">
        <f>DATEVALUE(Tabla1[[#This Row],[Columna2]])</f>
        <v>45551</v>
      </c>
      <c r="C357" t="s">
        <v>284</v>
      </c>
      <c r="D357" t="s">
        <v>12</v>
      </c>
      <c r="E357" t="str" cm="1">
        <f t="array" ref="E357">_xlfn.IFS(D357="Eventos particulares","Piloto Junior 1",D357="Federaciones y asociaciones deportivas","Piloto Junior 2",D357="Inspecciones agrícolas","Piloto Senior 1",D357="Inspecciones técnicas","Piloto Senior 2")</f>
        <v>Piloto Junior 1</v>
      </c>
      <c r="F357">
        <v>12.68</v>
      </c>
      <c r="G357" s="1" t="str" cm="1">
        <f t="array" ref="G357">_xlfn.IFS(D357="Eventos particulares","225",D357="Federaciones y asociaciones deportivas","250",D357="Inspecciones agrícolas","275",D357="Inspecciones técnicas","300")</f>
        <v>225</v>
      </c>
      <c r="H357" s="1">
        <f>VALUE(Tabla1[[#This Row],[Columna1]])</f>
        <v>225</v>
      </c>
      <c r="I357" s="1">
        <f t="shared" si="5"/>
        <v>2853</v>
      </c>
    </row>
    <row r="358" spans="1:9" x14ac:dyDescent="0.2">
      <c r="A358" s="12" t="s">
        <v>161</v>
      </c>
      <c r="B358" s="12">
        <f>DATEVALUE(Tabla1[[#This Row],[Columna2]])</f>
        <v>45551</v>
      </c>
      <c r="C358" t="s">
        <v>287</v>
      </c>
      <c r="D358" t="s">
        <v>17</v>
      </c>
      <c r="E358" t="str" cm="1">
        <f t="array" ref="E358">_xlfn.IFS(D358="Eventos particulares","Piloto Junior 1",D358="Federaciones y asociaciones deportivas","Piloto Junior 2",D358="Inspecciones agrícolas","Piloto Senior 1",D358="Inspecciones técnicas","Piloto Senior 2")</f>
        <v>Piloto Senior 1</v>
      </c>
      <c r="F358">
        <v>11.99</v>
      </c>
      <c r="G358" s="1" t="str" cm="1">
        <f t="array" ref="G358">_xlfn.IFS(D358="Eventos particulares","225",D358="Federaciones y asociaciones deportivas","250",D358="Inspecciones agrícolas","275",D358="Inspecciones técnicas","300")</f>
        <v>275</v>
      </c>
      <c r="H358" s="1">
        <f>VALUE(Tabla1[[#This Row],[Columna1]])</f>
        <v>275</v>
      </c>
      <c r="I358" s="1">
        <f t="shared" si="5"/>
        <v>3297.25</v>
      </c>
    </row>
    <row r="359" spans="1:9" x14ac:dyDescent="0.2">
      <c r="A359" s="12" t="s">
        <v>40</v>
      </c>
      <c r="B359" s="12">
        <f>DATEVALUE(Tabla1[[#This Row],[Columna2]])</f>
        <v>45552</v>
      </c>
      <c r="C359" t="s">
        <v>284</v>
      </c>
      <c r="D359" t="s">
        <v>17</v>
      </c>
      <c r="E359" t="str" cm="1">
        <f t="array" ref="E359">_xlfn.IFS(D359="Eventos particulares","Piloto Junior 1",D359="Federaciones y asociaciones deportivas","Piloto Junior 2",D359="Inspecciones agrícolas","Piloto Senior 1",D359="Inspecciones técnicas","Piloto Senior 2")</f>
        <v>Piloto Senior 1</v>
      </c>
      <c r="F359">
        <v>7.65</v>
      </c>
      <c r="G359" s="1" t="str" cm="1">
        <f t="array" ref="G359">_xlfn.IFS(D359="Eventos particulares","225",D359="Federaciones y asociaciones deportivas","250",D359="Inspecciones agrícolas","275",D359="Inspecciones técnicas","300")</f>
        <v>275</v>
      </c>
      <c r="H359" s="1">
        <f>VALUE(Tabla1[[#This Row],[Columna1]])</f>
        <v>275</v>
      </c>
      <c r="I359" s="1">
        <f t="shared" si="5"/>
        <v>2103.75</v>
      </c>
    </row>
    <row r="360" spans="1:9" x14ac:dyDescent="0.2">
      <c r="A360" s="12" t="s">
        <v>40</v>
      </c>
      <c r="B360" s="12">
        <f>DATEVALUE(Tabla1[[#This Row],[Columna2]])</f>
        <v>45552</v>
      </c>
      <c r="C360" t="s">
        <v>285</v>
      </c>
      <c r="D360" t="s">
        <v>4</v>
      </c>
      <c r="E360" t="str" cm="1">
        <f t="array" ref="E360">_xlfn.IFS(D360="Eventos particulares","Piloto Junior 1",D360="Federaciones y asociaciones deportivas","Piloto Junior 2",D360="Inspecciones agrícolas","Piloto Senior 1",D360="Inspecciones técnicas","Piloto Senior 2")</f>
        <v>Piloto Senior 2</v>
      </c>
      <c r="F360">
        <v>6.7</v>
      </c>
      <c r="G360" s="1" t="str" cm="1">
        <f t="array" ref="G360">_xlfn.IFS(D360="Eventos particulares","225",D360="Federaciones y asociaciones deportivas","250",D360="Inspecciones agrícolas","275",D360="Inspecciones técnicas","300")</f>
        <v>300</v>
      </c>
      <c r="H360" s="1">
        <f>VALUE(Tabla1[[#This Row],[Columna1]])</f>
        <v>300</v>
      </c>
      <c r="I360" s="1">
        <f t="shared" si="5"/>
        <v>2010</v>
      </c>
    </row>
    <row r="361" spans="1:9" x14ac:dyDescent="0.2">
      <c r="A361" s="12" t="s">
        <v>112</v>
      </c>
      <c r="B361" s="12">
        <f>DATEVALUE(Tabla1[[#This Row],[Columna2]])</f>
        <v>45553</v>
      </c>
      <c r="C361" t="s">
        <v>284</v>
      </c>
      <c r="D361" t="s">
        <v>4</v>
      </c>
      <c r="E361" t="str" cm="1">
        <f t="array" ref="E361">_xlfn.IFS(D361="Eventos particulares","Piloto Junior 1",D361="Federaciones y asociaciones deportivas","Piloto Junior 2",D361="Inspecciones agrícolas","Piloto Senior 1",D361="Inspecciones técnicas","Piloto Senior 2")</f>
        <v>Piloto Senior 2</v>
      </c>
      <c r="F361">
        <v>12.03</v>
      </c>
      <c r="G361" s="1" t="str" cm="1">
        <f t="array" ref="G361">_xlfn.IFS(D361="Eventos particulares","225",D361="Federaciones y asociaciones deportivas","250",D361="Inspecciones agrícolas","275",D361="Inspecciones técnicas","300")</f>
        <v>300</v>
      </c>
      <c r="H361" s="1">
        <f>VALUE(Tabla1[[#This Row],[Columna1]])</f>
        <v>300</v>
      </c>
      <c r="I361" s="1">
        <f t="shared" si="5"/>
        <v>3609</v>
      </c>
    </row>
    <row r="362" spans="1:9" x14ac:dyDescent="0.2">
      <c r="A362" s="12" t="s">
        <v>112</v>
      </c>
      <c r="B362" s="12">
        <f>DATEVALUE(Tabla1[[#This Row],[Columna2]])</f>
        <v>45553</v>
      </c>
      <c r="C362" t="s">
        <v>287</v>
      </c>
      <c r="D362" t="s">
        <v>4</v>
      </c>
      <c r="E362" t="str" cm="1">
        <f t="array" ref="E362">_xlfn.IFS(D362="Eventos particulares","Piloto Junior 1",D362="Federaciones y asociaciones deportivas","Piloto Junior 2",D362="Inspecciones agrícolas","Piloto Senior 1",D362="Inspecciones técnicas","Piloto Senior 2")</f>
        <v>Piloto Senior 2</v>
      </c>
      <c r="F362">
        <v>15.1</v>
      </c>
      <c r="G362" s="1" t="str" cm="1">
        <f t="array" ref="G362">_xlfn.IFS(D362="Eventos particulares","225",D362="Federaciones y asociaciones deportivas","250",D362="Inspecciones agrícolas","275",D362="Inspecciones técnicas","300")</f>
        <v>300</v>
      </c>
      <c r="H362" s="1">
        <f>VALUE(Tabla1[[#This Row],[Columna1]])</f>
        <v>300</v>
      </c>
      <c r="I362" s="1">
        <f t="shared" si="5"/>
        <v>4530</v>
      </c>
    </row>
    <row r="363" spans="1:9" x14ac:dyDescent="0.2">
      <c r="A363" s="12" t="s">
        <v>118</v>
      </c>
      <c r="B363" s="12">
        <f>DATEVALUE(Tabla1[[#This Row],[Columna2]])</f>
        <v>45554</v>
      </c>
      <c r="C363" t="s">
        <v>284</v>
      </c>
      <c r="D363" t="s">
        <v>12</v>
      </c>
      <c r="E363" t="str" cm="1">
        <f t="array" ref="E363">_xlfn.IFS(D363="Eventos particulares","Piloto Junior 1",D363="Federaciones y asociaciones deportivas","Piloto Junior 2",D363="Inspecciones agrícolas","Piloto Senior 1",D363="Inspecciones técnicas","Piloto Senior 2")</f>
        <v>Piloto Junior 1</v>
      </c>
      <c r="F363">
        <v>14.61</v>
      </c>
      <c r="G363" s="1" t="str" cm="1">
        <f t="array" ref="G363">_xlfn.IFS(D363="Eventos particulares","225",D363="Federaciones y asociaciones deportivas","250",D363="Inspecciones agrícolas","275",D363="Inspecciones técnicas","300")</f>
        <v>225</v>
      </c>
      <c r="H363" s="1">
        <f>VALUE(Tabla1[[#This Row],[Columna1]])</f>
        <v>225</v>
      </c>
      <c r="I363" s="1">
        <f t="shared" si="5"/>
        <v>3287.25</v>
      </c>
    </row>
    <row r="364" spans="1:9" x14ac:dyDescent="0.2">
      <c r="A364" s="12" t="s">
        <v>118</v>
      </c>
      <c r="B364" s="12">
        <f>DATEVALUE(Tabla1[[#This Row],[Columna2]])</f>
        <v>45554</v>
      </c>
      <c r="C364" t="s">
        <v>286</v>
      </c>
      <c r="D364" t="s">
        <v>4</v>
      </c>
      <c r="E364" t="str" cm="1">
        <f t="array" ref="E364">_xlfn.IFS(D364="Eventos particulares","Piloto Junior 1",D364="Federaciones y asociaciones deportivas","Piloto Junior 2",D364="Inspecciones agrícolas","Piloto Senior 1",D364="Inspecciones técnicas","Piloto Senior 2")</f>
        <v>Piloto Senior 2</v>
      </c>
      <c r="F364">
        <v>15.31</v>
      </c>
      <c r="G364" s="1" t="str" cm="1">
        <f t="array" ref="G364">_xlfn.IFS(D364="Eventos particulares","225",D364="Federaciones y asociaciones deportivas","250",D364="Inspecciones agrícolas","275",D364="Inspecciones técnicas","300")</f>
        <v>300</v>
      </c>
      <c r="H364" s="1">
        <f>VALUE(Tabla1[[#This Row],[Columna1]])</f>
        <v>300</v>
      </c>
      <c r="I364" s="1">
        <f t="shared" si="5"/>
        <v>4593</v>
      </c>
    </row>
    <row r="365" spans="1:9" x14ac:dyDescent="0.2">
      <c r="A365" s="12" t="s">
        <v>51</v>
      </c>
      <c r="B365" s="12">
        <f>DATEVALUE(Tabla1[[#This Row],[Columna2]])</f>
        <v>45555</v>
      </c>
      <c r="C365" t="s">
        <v>284</v>
      </c>
      <c r="D365" t="s">
        <v>17</v>
      </c>
      <c r="E365" t="str" cm="1">
        <f t="array" ref="E365">_xlfn.IFS(D365="Eventos particulares","Piloto Junior 1",D365="Federaciones y asociaciones deportivas","Piloto Junior 2",D365="Inspecciones agrícolas","Piloto Senior 1",D365="Inspecciones técnicas","Piloto Senior 2")</f>
        <v>Piloto Senior 1</v>
      </c>
      <c r="F365">
        <v>10.09</v>
      </c>
      <c r="G365" s="1" t="str" cm="1">
        <f t="array" ref="G365">_xlfn.IFS(D365="Eventos particulares","225",D365="Federaciones y asociaciones deportivas","250",D365="Inspecciones agrícolas","275",D365="Inspecciones técnicas","300")</f>
        <v>275</v>
      </c>
      <c r="H365" s="1">
        <f>VALUE(Tabla1[[#This Row],[Columna1]])</f>
        <v>275</v>
      </c>
      <c r="I365" s="1">
        <f t="shared" si="5"/>
        <v>2774.75</v>
      </c>
    </row>
    <row r="366" spans="1:9" x14ac:dyDescent="0.2">
      <c r="A366" s="12" t="s">
        <v>51</v>
      </c>
      <c r="B366" s="12">
        <f>DATEVALUE(Tabla1[[#This Row],[Columna2]])</f>
        <v>45555</v>
      </c>
      <c r="C366" t="s">
        <v>284</v>
      </c>
      <c r="D366" t="s">
        <v>17</v>
      </c>
      <c r="E366" t="str" cm="1">
        <f t="array" ref="E366">_xlfn.IFS(D366="Eventos particulares","Piloto Junior 1",D366="Federaciones y asociaciones deportivas","Piloto Junior 2",D366="Inspecciones agrícolas","Piloto Senior 1",D366="Inspecciones técnicas","Piloto Senior 2")</f>
        <v>Piloto Senior 1</v>
      </c>
      <c r="F366">
        <v>4.37</v>
      </c>
      <c r="G366" s="1" t="str" cm="1">
        <f t="array" ref="G366">_xlfn.IFS(D366="Eventos particulares","225",D366="Federaciones y asociaciones deportivas","250",D366="Inspecciones agrícolas","275",D366="Inspecciones técnicas","300")</f>
        <v>275</v>
      </c>
      <c r="H366" s="1">
        <f>VALUE(Tabla1[[#This Row],[Columna1]])</f>
        <v>275</v>
      </c>
      <c r="I366" s="1">
        <f t="shared" si="5"/>
        <v>1201.75</v>
      </c>
    </row>
    <row r="367" spans="1:9" x14ac:dyDescent="0.2">
      <c r="A367" s="12" t="s">
        <v>51</v>
      </c>
      <c r="B367" s="12">
        <f>DATEVALUE(Tabla1[[#This Row],[Columna2]])</f>
        <v>45555</v>
      </c>
      <c r="C367" t="s">
        <v>284</v>
      </c>
      <c r="D367" t="s">
        <v>12</v>
      </c>
      <c r="E367" t="str" cm="1">
        <f t="array" ref="E367">_xlfn.IFS(D367="Eventos particulares","Piloto Junior 1",D367="Federaciones y asociaciones deportivas","Piloto Junior 2",D367="Inspecciones agrícolas","Piloto Senior 1",D367="Inspecciones técnicas","Piloto Senior 2")</f>
        <v>Piloto Junior 1</v>
      </c>
      <c r="F367">
        <v>6.38</v>
      </c>
      <c r="G367" s="1" t="str" cm="1">
        <f t="array" ref="G367">_xlfn.IFS(D367="Eventos particulares","225",D367="Federaciones y asociaciones deportivas","250",D367="Inspecciones agrícolas","275",D367="Inspecciones técnicas","300")</f>
        <v>225</v>
      </c>
      <c r="H367" s="1">
        <f>VALUE(Tabla1[[#This Row],[Columna1]])</f>
        <v>225</v>
      </c>
      <c r="I367" s="1">
        <f t="shared" si="5"/>
        <v>1435.5</v>
      </c>
    </row>
    <row r="368" spans="1:9" x14ac:dyDescent="0.2">
      <c r="A368" s="12" t="s">
        <v>51</v>
      </c>
      <c r="B368" s="12">
        <f>DATEVALUE(Tabla1[[#This Row],[Columna2]])</f>
        <v>45555</v>
      </c>
      <c r="C368" t="s">
        <v>285</v>
      </c>
      <c r="D368" t="s">
        <v>12</v>
      </c>
      <c r="E368" t="str" cm="1">
        <f t="array" ref="E368">_xlfn.IFS(D368="Eventos particulares","Piloto Junior 1",D368="Federaciones y asociaciones deportivas","Piloto Junior 2",D368="Inspecciones agrícolas","Piloto Senior 1",D368="Inspecciones técnicas","Piloto Senior 2")</f>
        <v>Piloto Junior 1</v>
      </c>
      <c r="F368">
        <v>9.99</v>
      </c>
      <c r="G368" s="1" t="str" cm="1">
        <f t="array" ref="G368">_xlfn.IFS(D368="Eventos particulares","225",D368="Federaciones y asociaciones deportivas","250",D368="Inspecciones agrícolas","275",D368="Inspecciones técnicas","300")</f>
        <v>225</v>
      </c>
      <c r="H368" s="1">
        <f>VALUE(Tabla1[[#This Row],[Columna1]])</f>
        <v>225</v>
      </c>
      <c r="I368" s="1">
        <f t="shared" si="5"/>
        <v>2247.75</v>
      </c>
    </row>
    <row r="369" spans="1:9" x14ac:dyDescent="0.2">
      <c r="A369" s="12" t="s">
        <v>187</v>
      </c>
      <c r="B369" s="12">
        <f>DATEVALUE(Tabla1[[#This Row],[Columna2]])</f>
        <v>45557</v>
      </c>
      <c r="C369" t="s">
        <v>285</v>
      </c>
      <c r="D369" t="s">
        <v>6</v>
      </c>
      <c r="E369" t="str" cm="1">
        <f t="array" ref="E369">_xlfn.IFS(D369="Eventos particulares","Piloto Junior 1",D369="Federaciones y asociaciones deportivas","Piloto Junior 2",D369="Inspecciones agrícolas","Piloto Senior 1",D369="Inspecciones técnicas","Piloto Senior 2")</f>
        <v>Piloto Junior 2</v>
      </c>
      <c r="F369">
        <v>11.36</v>
      </c>
      <c r="G369" s="1" t="str" cm="1">
        <f t="array" ref="G369">_xlfn.IFS(D369="Eventos particulares","225",D369="Federaciones y asociaciones deportivas","250",D369="Inspecciones agrícolas","275",D369="Inspecciones técnicas","300")</f>
        <v>250</v>
      </c>
      <c r="H369" s="1">
        <f>VALUE(Tabla1[[#This Row],[Columna1]])</f>
        <v>250</v>
      </c>
      <c r="I369" s="1">
        <f t="shared" si="5"/>
        <v>2840</v>
      </c>
    </row>
    <row r="370" spans="1:9" x14ac:dyDescent="0.2">
      <c r="A370" s="12" t="s">
        <v>75</v>
      </c>
      <c r="B370" s="12">
        <f>DATEVALUE(Tabla1[[#This Row],[Columna2]])</f>
        <v>45559</v>
      </c>
      <c r="C370" t="s">
        <v>284</v>
      </c>
      <c r="D370" t="s">
        <v>4</v>
      </c>
      <c r="E370" t="str" cm="1">
        <f t="array" ref="E370">_xlfn.IFS(D370="Eventos particulares","Piloto Junior 1",D370="Federaciones y asociaciones deportivas","Piloto Junior 2",D370="Inspecciones agrícolas","Piloto Senior 1",D370="Inspecciones técnicas","Piloto Senior 2")</f>
        <v>Piloto Senior 2</v>
      </c>
      <c r="F370">
        <v>11.05</v>
      </c>
      <c r="G370" s="1" t="str" cm="1">
        <f t="array" ref="G370">_xlfn.IFS(D370="Eventos particulares","225",D370="Federaciones y asociaciones deportivas","250",D370="Inspecciones agrícolas","275",D370="Inspecciones técnicas","300")</f>
        <v>300</v>
      </c>
      <c r="H370" s="1">
        <f>VALUE(Tabla1[[#This Row],[Columna1]])</f>
        <v>300</v>
      </c>
      <c r="I370" s="1">
        <f t="shared" si="5"/>
        <v>3315</v>
      </c>
    </row>
    <row r="371" spans="1:9" x14ac:dyDescent="0.2">
      <c r="A371" s="12" t="s">
        <v>154</v>
      </c>
      <c r="B371" s="12">
        <f>DATEVALUE(Tabla1[[#This Row],[Columna2]])</f>
        <v>45560</v>
      </c>
      <c r="C371" t="s">
        <v>284</v>
      </c>
      <c r="D371" t="s">
        <v>6</v>
      </c>
      <c r="E371" t="str" cm="1">
        <f t="array" ref="E371">_xlfn.IFS(D371="Eventos particulares","Piloto Junior 1",D371="Federaciones y asociaciones deportivas","Piloto Junior 2",D371="Inspecciones agrícolas","Piloto Senior 1",D371="Inspecciones técnicas","Piloto Senior 2")</f>
        <v>Piloto Junior 2</v>
      </c>
      <c r="F371">
        <v>5.91</v>
      </c>
      <c r="G371" s="1" t="str" cm="1">
        <f t="array" ref="G371">_xlfn.IFS(D371="Eventos particulares","225",D371="Federaciones y asociaciones deportivas","250",D371="Inspecciones agrícolas","275",D371="Inspecciones técnicas","300")</f>
        <v>250</v>
      </c>
      <c r="H371" s="1">
        <f>VALUE(Tabla1[[#This Row],[Columna1]])</f>
        <v>250</v>
      </c>
      <c r="I371" s="1">
        <f t="shared" si="5"/>
        <v>1477.5</v>
      </c>
    </row>
    <row r="372" spans="1:9" x14ac:dyDescent="0.2">
      <c r="A372" s="12" t="s">
        <v>53</v>
      </c>
      <c r="B372" s="12">
        <f>DATEVALUE(Tabla1[[#This Row],[Columna2]])</f>
        <v>45561</v>
      </c>
      <c r="C372" t="s">
        <v>284</v>
      </c>
      <c r="D372" t="s">
        <v>4</v>
      </c>
      <c r="E372" t="str" cm="1">
        <f t="array" ref="E372">_xlfn.IFS(D372="Eventos particulares","Piloto Junior 1",D372="Federaciones y asociaciones deportivas","Piloto Junior 2",D372="Inspecciones agrícolas","Piloto Senior 1",D372="Inspecciones técnicas","Piloto Senior 2")</f>
        <v>Piloto Senior 2</v>
      </c>
      <c r="F372">
        <v>12.01</v>
      </c>
      <c r="G372" s="1" t="str" cm="1">
        <f t="array" ref="G372">_xlfn.IFS(D372="Eventos particulares","225",D372="Federaciones y asociaciones deportivas","250",D372="Inspecciones agrícolas","275",D372="Inspecciones técnicas","300")</f>
        <v>300</v>
      </c>
      <c r="H372" s="1">
        <f>VALUE(Tabla1[[#This Row],[Columna1]])</f>
        <v>300</v>
      </c>
      <c r="I372" s="1">
        <f t="shared" si="5"/>
        <v>3603</v>
      </c>
    </row>
    <row r="373" spans="1:9" x14ac:dyDescent="0.2">
      <c r="A373" s="12" t="s">
        <v>53</v>
      </c>
      <c r="B373" s="12">
        <f>DATEVALUE(Tabla1[[#This Row],[Columna2]])</f>
        <v>45561</v>
      </c>
      <c r="C373" t="s">
        <v>287</v>
      </c>
      <c r="D373" t="s">
        <v>17</v>
      </c>
      <c r="E373" t="str" cm="1">
        <f t="array" ref="E373">_xlfn.IFS(D373="Eventos particulares","Piloto Junior 1",D373="Federaciones y asociaciones deportivas","Piloto Junior 2",D373="Inspecciones agrícolas","Piloto Senior 1",D373="Inspecciones técnicas","Piloto Senior 2")</f>
        <v>Piloto Senior 1</v>
      </c>
      <c r="F373">
        <v>15.22</v>
      </c>
      <c r="G373" s="1" t="str" cm="1">
        <f t="array" ref="G373">_xlfn.IFS(D373="Eventos particulares","225",D373="Federaciones y asociaciones deportivas","250",D373="Inspecciones agrícolas","275",D373="Inspecciones técnicas","300")</f>
        <v>275</v>
      </c>
      <c r="H373" s="1">
        <f>VALUE(Tabla1[[#This Row],[Columna1]])</f>
        <v>275</v>
      </c>
      <c r="I373" s="1">
        <f t="shared" si="5"/>
        <v>4185.5</v>
      </c>
    </row>
    <row r="374" spans="1:9" x14ac:dyDescent="0.2">
      <c r="A374" s="12" t="s">
        <v>192</v>
      </c>
      <c r="B374" s="12">
        <f>DATEVALUE(Tabla1[[#This Row],[Columna2]])</f>
        <v>45563</v>
      </c>
      <c r="C374" t="s">
        <v>285</v>
      </c>
      <c r="D374" t="s">
        <v>17</v>
      </c>
      <c r="E374" t="str" cm="1">
        <f t="array" ref="E374">_xlfn.IFS(D374="Eventos particulares","Piloto Junior 1",D374="Federaciones y asociaciones deportivas","Piloto Junior 2",D374="Inspecciones agrícolas","Piloto Senior 1",D374="Inspecciones técnicas","Piloto Senior 2")</f>
        <v>Piloto Senior 1</v>
      </c>
      <c r="F374">
        <v>13.24</v>
      </c>
      <c r="G374" s="1" t="str" cm="1">
        <f t="array" ref="G374">_xlfn.IFS(D374="Eventos particulares","225",D374="Federaciones y asociaciones deportivas","250",D374="Inspecciones agrícolas","275",D374="Inspecciones técnicas","300")</f>
        <v>275</v>
      </c>
      <c r="H374" s="1">
        <f>VALUE(Tabla1[[#This Row],[Columna1]])</f>
        <v>275</v>
      </c>
      <c r="I374" s="1">
        <f t="shared" si="5"/>
        <v>3641</v>
      </c>
    </row>
    <row r="375" spans="1:9" x14ac:dyDescent="0.2">
      <c r="A375" s="12" t="s">
        <v>192</v>
      </c>
      <c r="B375" s="12">
        <f>DATEVALUE(Tabla1[[#This Row],[Columna2]])</f>
        <v>45563</v>
      </c>
      <c r="C375" t="s">
        <v>286</v>
      </c>
      <c r="D375" t="s">
        <v>17</v>
      </c>
      <c r="E375" t="str" cm="1">
        <f t="array" ref="E375">_xlfn.IFS(D375="Eventos particulares","Piloto Junior 1",D375="Federaciones y asociaciones deportivas","Piloto Junior 2",D375="Inspecciones agrícolas","Piloto Senior 1",D375="Inspecciones técnicas","Piloto Senior 2")</f>
        <v>Piloto Senior 1</v>
      </c>
      <c r="F375">
        <v>5.48</v>
      </c>
      <c r="G375" s="1" t="str" cm="1">
        <f t="array" ref="G375">_xlfn.IFS(D375="Eventos particulares","225",D375="Federaciones y asociaciones deportivas","250",D375="Inspecciones agrícolas","275",D375="Inspecciones técnicas","300")</f>
        <v>275</v>
      </c>
      <c r="H375" s="1">
        <f>VALUE(Tabla1[[#This Row],[Columna1]])</f>
        <v>275</v>
      </c>
      <c r="I375" s="1">
        <f t="shared" si="5"/>
        <v>1507.0000000000002</v>
      </c>
    </row>
    <row r="376" spans="1:9" x14ac:dyDescent="0.2">
      <c r="A376" s="12" t="s">
        <v>271</v>
      </c>
      <c r="B376" s="12">
        <f>DATEVALUE(Tabla1[[#This Row],[Columna2]])</f>
        <v>45564</v>
      </c>
      <c r="C376" t="s">
        <v>287</v>
      </c>
      <c r="D376" t="s">
        <v>12</v>
      </c>
      <c r="E376" t="str" cm="1">
        <f t="array" ref="E376">_xlfn.IFS(D376="Eventos particulares","Piloto Junior 1",D376="Federaciones y asociaciones deportivas","Piloto Junior 2",D376="Inspecciones agrícolas","Piloto Senior 1",D376="Inspecciones técnicas","Piloto Senior 2")</f>
        <v>Piloto Junior 1</v>
      </c>
      <c r="F376">
        <v>10.18</v>
      </c>
      <c r="G376" s="1" t="str" cm="1">
        <f t="array" ref="G376">_xlfn.IFS(D376="Eventos particulares","225",D376="Federaciones y asociaciones deportivas","250",D376="Inspecciones agrícolas","275",D376="Inspecciones técnicas","300")</f>
        <v>225</v>
      </c>
      <c r="H376" s="1">
        <f>VALUE(Tabla1[[#This Row],[Columna1]])</f>
        <v>225</v>
      </c>
      <c r="I376" s="1">
        <f t="shared" si="5"/>
        <v>2290.5</v>
      </c>
    </row>
    <row r="377" spans="1:9" x14ac:dyDescent="0.2">
      <c r="A377" s="12" t="s">
        <v>56</v>
      </c>
      <c r="B377" s="12">
        <f>DATEVALUE(Tabla1[[#This Row],[Columna2]])</f>
        <v>45566</v>
      </c>
      <c r="C377" t="s">
        <v>284</v>
      </c>
      <c r="D377" t="s">
        <v>4</v>
      </c>
      <c r="E377" t="str" cm="1">
        <f t="array" ref="E377">_xlfn.IFS(D377="Eventos particulares","Piloto Junior 1",D377="Federaciones y asociaciones deportivas","Piloto Junior 2",D377="Inspecciones agrícolas","Piloto Senior 1",D377="Inspecciones técnicas","Piloto Senior 2")</f>
        <v>Piloto Senior 2</v>
      </c>
      <c r="F377">
        <v>13.33</v>
      </c>
      <c r="G377" s="1" t="str" cm="1">
        <f t="array" ref="G377">_xlfn.IFS(D377="Eventos particulares","225",D377="Federaciones y asociaciones deportivas","250",D377="Inspecciones agrícolas","275",D377="Inspecciones técnicas","300")</f>
        <v>300</v>
      </c>
      <c r="H377" s="1">
        <f>VALUE(Tabla1[[#This Row],[Columna1]])</f>
        <v>300</v>
      </c>
      <c r="I377" s="1">
        <f t="shared" si="5"/>
        <v>3999</v>
      </c>
    </row>
    <row r="378" spans="1:9" x14ac:dyDescent="0.2">
      <c r="A378" s="12" t="s">
        <v>56</v>
      </c>
      <c r="B378" s="12">
        <f>DATEVALUE(Tabla1[[#This Row],[Columna2]])</f>
        <v>45566</v>
      </c>
      <c r="C378" t="s">
        <v>284</v>
      </c>
      <c r="D378" t="s">
        <v>6</v>
      </c>
      <c r="E378" t="str" cm="1">
        <f t="array" ref="E378">_xlfn.IFS(D378="Eventos particulares","Piloto Junior 1",D378="Federaciones y asociaciones deportivas","Piloto Junior 2",D378="Inspecciones agrícolas","Piloto Senior 1",D378="Inspecciones técnicas","Piloto Senior 2")</f>
        <v>Piloto Junior 2</v>
      </c>
      <c r="F378">
        <v>10.57</v>
      </c>
      <c r="G378" s="1" t="str" cm="1">
        <f t="array" ref="G378">_xlfn.IFS(D378="Eventos particulares","225",D378="Federaciones y asociaciones deportivas","250",D378="Inspecciones agrícolas","275",D378="Inspecciones técnicas","300")</f>
        <v>250</v>
      </c>
      <c r="H378" s="1">
        <f>VALUE(Tabla1[[#This Row],[Columna1]])</f>
        <v>250</v>
      </c>
      <c r="I378" s="1">
        <f t="shared" si="5"/>
        <v>2642.5</v>
      </c>
    </row>
    <row r="379" spans="1:9" x14ac:dyDescent="0.2">
      <c r="A379" s="12" t="s">
        <v>120</v>
      </c>
      <c r="B379" s="12">
        <f>DATEVALUE(Tabla1[[#This Row],[Columna2]])</f>
        <v>45567</v>
      </c>
      <c r="C379" t="s">
        <v>284</v>
      </c>
      <c r="D379" t="s">
        <v>4</v>
      </c>
      <c r="E379" t="str" cm="1">
        <f t="array" ref="E379">_xlfn.IFS(D379="Eventos particulares","Piloto Junior 1",D379="Federaciones y asociaciones deportivas","Piloto Junior 2",D379="Inspecciones agrícolas","Piloto Senior 1",D379="Inspecciones técnicas","Piloto Senior 2")</f>
        <v>Piloto Senior 2</v>
      </c>
      <c r="F379">
        <v>12.75</v>
      </c>
      <c r="G379" s="1" t="str" cm="1">
        <f t="array" ref="G379">_xlfn.IFS(D379="Eventos particulares","225",D379="Federaciones y asociaciones deportivas","250",D379="Inspecciones agrícolas","275",D379="Inspecciones técnicas","300")</f>
        <v>300</v>
      </c>
      <c r="H379" s="1">
        <f>VALUE(Tabla1[[#This Row],[Columna1]])</f>
        <v>300</v>
      </c>
      <c r="I379" s="1">
        <f t="shared" si="5"/>
        <v>3825</v>
      </c>
    </row>
    <row r="380" spans="1:9" x14ac:dyDescent="0.2">
      <c r="A380" s="12" t="s">
        <v>179</v>
      </c>
      <c r="B380" s="12">
        <f>DATEVALUE(Tabla1[[#This Row],[Columna2]])</f>
        <v>45568</v>
      </c>
      <c r="C380" t="s">
        <v>285</v>
      </c>
      <c r="D380" t="s">
        <v>6</v>
      </c>
      <c r="E380" t="str" cm="1">
        <f t="array" ref="E380">_xlfn.IFS(D380="Eventos particulares","Piloto Junior 1",D380="Federaciones y asociaciones deportivas","Piloto Junior 2",D380="Inspecciones agrícolas","Piloto Senior 1",D380="Inspecciones técnicas","Piloto Senior 2")</f>
        <v>Piloto Junior 2</v>
      </c>
      <c r="F380">
        <v>15.97</v>
      </c>
      <c r="G380" s="1" t="str" cm="1">
        <f t="array" ref="G380">_xlfn.IFS(D380="Eventos particulares","225",D380="Federaciones y asociaciones deportivas","250",D380="Inspecciones agrícolas","275",D380="Inspecciones técnicas","300")</f>
        <v>250</v>
      </c>
      <c r="H380" s="1">
        <f>VALUE(Tabla1[[#This Row],[Columna1]])</f>
        <v>250</v>
      </c>
      <c r="I380" s="1">
        <f t="shared" si="5"/>
        <v>3992.5</v>
      </c>
    </row>
    <row r="381" spans="1:9" x14ac:dyDescent="0.2">
      <c r="A381" s="12" t="s">
        <v>179</v>
      </c>
      <c r="B381" s="12">
        <f>DATEVALUE(Tabla1[[#This Row],[Columna2]])</f>
        <v>45568</v>
      </c>
      <c r="C381" t="s">
        <v>286</v>
      </c>
      <c r="D381" t="s">
        <v>12</v>
      </c>
      <c r="E381" t="str" cm="1">
        <f t="array" ref="E381">_xlfn.IFS(D381="Eventos particulares","Piloto Junior 1",D381="Federaciones y asociaciones deportivas","Piloto Junior 2",D381="Inspecciones agrícolas","Piloto Senior 1",D381="Inspecciones técnicas","Piloto Senior 2")</f>
        <v>Piloto Junior 1</v>
      </c>
      <c r="F381">
        <v>10.23</v>
      </c>
      <c r="G381" s="1" t="str" cm="1">
        <f t="array" ref="G381">_xlfn.IFS(D381="Eventos particulares","225",D381="Federaciones y asociaciones deportivas","250",D381="Inspecciones agrícolas","275",D381="Inspecciones técnicas","300")</f>
        <v>225</v>
      </c>
      <c r="H381" s="1">
        <f>VALUE(Tabla1[[#This Row],[Columna1]])</f>
        <v>225</v>
      </c>
      <c r="I381" s="1">
        <f t="shared" si="5"/>
        <v>2301.75</v>
      </c>
    </row>
    <row r="382" spans="1:9" x14ac:dyDescent="0.2">
      <c r="A382" s="12" t="s">
        <v>179</v>
      </c>
      <c r="B382" s="12">
        <f>DATEVALUE(Tabla1[[#This Row],[Columna2]])</f>
        <v>45568</v>
      </c>
      <c r="C382" t="s">
        <v>287</v>
      </c>
      <c r="D382" t="s">
        <v>17</v>
      </c>
      <c r="E382" t="str" cm="1">
        <f t="array" ref="E382">_xlfn.IFS(D382="Eventos particulares","Piloto Junior 1",D382="Federaciones y asociaciones deportivas","Piloto Junior 2",D382="Inspecciones agrícolas","Piloto Senior 1",D382="Inspecciones técnicas","Piloto Senior 2")</f>
        <v>Piloto Senior 1</v>
      </c>
      <c r="F382">
        <v>6.35</v>
      </c>
      <c r="G382" s="1" t="str" cm="1">
        <f t="array" ref="G382">_xlfn.IFS(D382="Eventos particulares","225",D382="Federaciones y asociaciones deportivas","250",D382="Inspecciones agrícolas","275",D382="Inspecciones técnicas","300")</f>
        <v>275</v>
      </c>
      <c r="H382" s="1">
        <f>VALUE(Tabla1[[#This Row],[Columna1]])</f>
        <v>275</v>
      </c>
      <c r="I382" s="1">
        <f t="shared" si="5"/>
        <v>1746.25</v>
      </c>
    </row>
    <row r="383" spans="1:9" x14ac:dyDescent="0.2">
      <c r="A383" s="12" t="s">
        <v>103</v>
      </c>
      <c r="B383" s="12">
        <f>DATEVALUE(Tabla1[[#This Row],[Columna2]])</f>
        <v>45569</v>
      </c>
      <c r="C383" t="s">
        <v>284</v>
      </c>
      <c r="D383" t="s">
        <v>4</v>
      </c>
      <c r="E383" t="str" cm="1">
        <f t="array" ref="E383">_xlfn.IFS(D383="Eventos particulares","Piloto Junior 1",D383="Federaciones y asociaciones deportivas","Piloto Junior 2",D383="Inspecciones agrícolas","Piloto Senior 1",D383="Inspecciones técnicas","Piloto Senior 2")</f>
        <v>Piloto Senior 2</v>
      </c>
      <c r="F383">
        <v>4.99</v>
      </c>
      <c r="G383" s="1" t="str" cm="1">
        <f t="array" ref="G383">_xlfn.IFS(D383="Eventos particulares","225",D383="Federaciones y asociaciones deportivas","250",D383="Inspecciones agrícolas","275",D383="Inspecciones técnicas","300")</f>
        <v>300</v>
      </c>
      <c r="H383" s="1">
        <f>VALUE(Tabla1[[#This Row],[Columna1]])</f>
        <v>300</v>
      </c>
      <c r="I383" s="1">
        <f t="shared" si="5"/>
        <v>1497</v>
      </c>
    </row>
    <row r="384" spans="1:9" x14ac:dyDescent="0.2">
      <c r="A384" s="12" t="s">
        <v>103</v>
      </c>
      <c r="B384" s="12">
        <f>DATEVALUE(Tabla1[[#This Row],[Columna2]])</f>
        <v>45569</v>
      </c>
      <c r="C384" t="s">
        <v>285</v>
      </c>
      <c r="D384" t="s">
        <v>4</v>
      </c>
      <c r="E384" t="str" cm="1">
        <f t="array" ref="E384">_xlfn.IFS(D384="Eventos particulares","Piloto Junior 1",D384="Federaciones y asociaciones deportivas","Piloto Junior 2",D384="Inspecciones agrícolas","Piloto Senior 1",D384="Inspecciones técnicas","Piloto Senior 2")</f>
        <v>Piloto Senior 2</v>
      </c>
      <c r="F384">
        <v>6.95</v>
      </c>
      <c r="G384" s="1" t="str" cm="1">
        <f t="array" ref="G384">_xlfn.IFS(D384="Eventos particulares","225",D384="Federaciones y asociaciones deportivas","250",D384="Inspecciones agrícolas","275",D384="Inspecciones técnicas","300")</f>
        <v>300</v>
      </c>
      <c r="H384" s="1">
        <f>VALUE(Tabla1[[#This Row],[Columna1]])</f>
        <v>300</v>
      </c>
      <c r="I384" s="1">
        <f t="shared" si="5"/>
        <v>2085</v>
      </c>
    </row>
    <row r="385" spans="1:9" x14ac:dyDescent="0.2">
      <c r="A385" s="12" t="s">
        <v>103</v>
      </c>
      <c r="B385" s="12">
        <f>DATEVALUE(Tabla1[[#This Row],[Columna2]])</f>
        <v>45569</v>
      </c>
      <c r="C385" t="s">
        <v>286</v>
      </c>
      <c r="D385" t="s">
        <v>12</v>
      </c>
      <c r="E385" t="str" cm="1">
        <f t="array" ref="E385">_xlfn.IFS(D385="Eventos particulares","Piloto Junior 1",D385="Federaciones y asociaciones deportivas","Piloto Junior 2",D385="Inspecciones agrícolas","Piloto Senior 1",D385="Inspecciones técnicas","Piloto Senior 2")</f>
        <v>Piloto Junior 1</v>
      </c>
      <c r="F385">
        <v>4.41</v>
      </c>
      <c r="G385" s="1" t="str" cm="1">
        <f t="array" ref="G385">_xlfn.IFS(D385="Eventos particulares","225",D385="Federaciones y asociaciones deportivas","250",D385="Inspecciones agrícolas","275",D385="Inspecciones técnicas","300")</f>
        <v>225</v>
      </c>
      <c r="H385" s="1">
        <f>VALUE(Tabla1[[#This Row],[Columna1]])</f>
        <v>225</v>
      </c>
      <c r="I385" s="1">
        <f t="shared" si="5"/>
        <v>992.25</v>
      </c>
    </row>
    <row r="386" spans="1:9" x14ac:dyDescent="0.2">
      <c r="A386" s="12" t="s">
        <v>5</v>
      </c>
      <c r="B386" s="12">
        <f>DATEVALUE(Tabla1[[#This Row],[Columna2]])</f>
        <v>45570</v>
      </c>
      <c r="C386" t="s">
        <v>284</v>
      </c>
      <c r="D386" t="s">
        <v>6</v>
      </c>
      <c r="E386" t="str" cm="1">
        <f t="array" ref="E386">_xlfn.IFS(D386="Eventos particulares","Piloto Junior 1",D386="Federaciones y asociaciones deportivas","Piloto Junior 2",D386="Inspecciones agrícolas","Piloto Senior 1",D386="Inspecciones técnicas","Piloto Senior 2")</f>
        <v>Piloto Junior 2</v>
      </c>
      <c r="F386">
        <v>7.04</v>
      </c>
      <c r="G386" s="1" t="str" cm="1">
        <f t="array" ref="G386">_xlfn.IFS(D386="Eventos particulares","225",D386="Federaciones y asociaciones deportivas","250",D386="Inspecciones agrícolas","275",D386="Inspecciones técnicas","300")</f>
        <v>250</v>
      </c>
      <c r="H386" s="1">
        <f>VALUE(Tabla1[[#This Row],[Columna1]])</f>
        <v>250</v>
      </c>
      <c r="I386" s="1">
        <f t="shared" ref="I386:I449" si="6">F386*H386</f>
        <v>1760</v>
      </c>
    </row>
    <row r="387" spans="1:9" x14ac:dyDescent="0.2">
      <c r="A387" s="12" t="s">
        <v>5</v>
      </c>
      <c r="B387" s="12">
        <f>DATEVALUE(Tabla1[[#This Row],[Columna2]])</f>
        <v>45570</v>
      </c>
      <c r="C387" t="s">
        <v>285</v>
      </c>
      <c r="D387" t="s">
        <v>17</v>
      </c>
      <c r="E387" t="str" cm="1">
        <f t="array" ref="E387">_xlfn.IFS(D387="Eventos particulares","Piloto Junior 1",D387="Federaciones y asociaciones deportivas","Piloto Junior 2",D387="Inspecciones agrícolas","Piloto Senior 1",D387="Inspecciones técnicas","Piloto Senior 2")</f>
        <v>Piloto Senior 1</v>
      </c>
      <c r="F387">
        <v>15.98</v>
      </c>
      <c r="G387" s="1" t="str" cm="1">
        <f t="array" ref="G387">_xlfn.IFS(D387="Eventos particulares","225",D387="Federaciones y asociaciones deportivas","250",D387="Inspecciones agrícolas","275",D387="Inspecciones técnicas","300")</f>
        <v>275</v>
      </c>
      <c r="H387" s="1">
        <f>VALUE(Tabla1[[#This Row],[Columna1]])</f>
        <v>275</v>
      </c>
      <c r="I387" s="1">
        <f t="shared" si="6"/>
        <v>4394.5</v>
      </c>
    </row>
    <row r="388" spans="1:9" x14ac:dyDescent="0.2">
      <c r="A388" s="12" t="s">
        <v>5</v>
      </c>
      <c r="B388" s="12">
        <f>DATEVALUE(Tabla1[[#This Row],[Columna2]])</f>
        <v>45570</v>
      </c>
      <c r="C388" t="s">
        <v>286</v>
      </c>
      <c r="D388" t="s">
        <v>6</v>
      </c>
      <c r="E388" t="str" cm="1">
        <f t="array" ref="E388">_xlfn.IFS(D388="Eventos particulares","Piloto Junior 1",D388="Federaciones y asociaciones deportivas","Piloto Junior 2",D388="Inspecciones agrícolas","Piloto Senior 1",D388="Inspecciones técnicas","Piloto Senior 2")</f>
        <v>Piloto Junior 2</v>
      </c>
      <c r="F388">
        <v>15.62</v>
      </c>
      <c r="G388" s="1" t="str" cm="1">
        <f t="array" ref="G388">_xlfn.IFS(D388="Eventos particulares","225",D388="Federaciones y asociaciones deportivas","250",D388="Inspecciones agrícolas","275",D388="Inspecciones técnicas","300")</f>
        <v>250</v>
      </c>
      <c r="H388" s="1">
        <f>VALUE(Tabla1[[#This Row],[Columna1]])</f>
        <v>250</v>
      </c>
      <c r="I388" s="1">
        <f t="shared" si="6"/>
        <v>3905</v>
      </c>
    </row>
    <row r="389" spans="1:9" x14ac:dyDescent="0.2">
      <c r="A389" s="12" t="s">
        <v>254</v>
      </c>
      <c r="B389" s="12">
        <f>DATEVALUE(Tabla1[[#This Row],[Columna2]])</f>
        <v>45571</v>
      </c>
      <c r="C389" t="s">
        <v>286</v>
      </c>
      <c r="D389" t="s">
        <v>17</v>
      </c>
      <c r="E389" t="str" cm="1">
        <f t="array" ref="E389">_xlfn.IFS(D389="Eventos particulares","Piloto Junior 1",D389="Federaciones y asociaciones deportivas","Piloto Junior 2",D389="Inspecciones agrícolas","Piloto Senior 1",D389="Inspecciones técnicas","Piloto Senior 2")</f>
        <v>Piloto Senior 1</v>
      </c>
      <c r="F389">
        <v>11.54</v>
      </c>
      <c r="G389" s="1" t="str" cm="1">
        <f t="array" ref="G389">_xlfn.IFS(D389="Eventos particulares","225",D389="Federaciones y asociaciones deportivas","250",D389="Inspecciones agrícolas","275",D389="Inspecciones técnicas","300")</f>
        <v>275</v>
      </c>
      <c r="H389" s="1">
        <f>VALUE(Tabla1[[#This Row],[Columna1]])</f>
        <v>275</v>
      </c>
      <c r="I389" s="1">
        <f t="shared" si="6"/>
        <v>3173.4999999999995</v>
      </c>
    </row>
    <row r="390" spans="1:9" x14ac:dyDescent="0.2">
      <c r="A390" s="12" t="s">
        <v>102</v>
      </c>
      <c r="B390" s="12">
        <f>DATEVALUE(Tabla1[[#This Row],[Columna2]])</f>
        <v>45572</v>
      </c>
      <c r="C390" t="s">
        <v>284</v>
      </c>
      <c r="D390" t="s">
        <v>4</v>
      </c>
      <c r="E390" t="str" cm="1">
        <f t="array" ref="E390">_xlfn.IFS(D390="Eventos particulares","Piloto Junior 1",D390="Federaciones y asociaciones deportivas","Piloto Junior 2",D390="Inspecciones agrícolas","Piloto Senior 1",D390="Inspecciones técnicas","Piloto Senior 2")</f>
        <v>Piloto Senior 2</v>
      </c>
      <c r="F390">
        <v>5.15</v>
      </c>
      <c r="G390" s="1" t="str" cm="1">
        <f t="array" ref="G390">_xlfn.IFS(D390="Eventos particulares","225",D390="Federaciones y asociaciones deportivas","250",D390="Inspecciones agrícolas","275",D390="Inspecciones técnicas","300")</f>
        <v>300</v>
      </c>
      <c r="H390" s="1">
        <f>VALUE(Tabla1[[#This Row],[Columna1]])</f>
        <v>300</v>
      </c>
      <c r="I390" s="1">
        <f t="shared" si="6"/>
        <v>1545</v>
      </c>
    </row>
    <row r="391" spans="1:9" x14ac:dyDescent="0.2">
      <c r="A391" s="12" t="s">
        <v>126</v>
      </c>
      <c r="B391" s="12">
        <f>DATEVALUE(Tabla1[[#This Row],[Columna2]])</f>
        <v>45573</v>
      </c>
      <c r="C391" t="s">
        <v>284</v>
      </c>
      <c r="D391" t="s">
        <v>17</v>
      </c>
      <c r="E391" t="str" cm="1">
        <f t="array" ref="E391">_xlfn.IFS(D391="Eventos particulares","Piloto Junior 1",D391="Federaciones y asociaciones deportivas","Piloto Junior 2",D391="Inspecciones agrícolas","Piloto Senior 1",D391="Inspecciones técnicas","Piloto Senior 2")</f>
        <v>Piloto Senior 1</v>
      </c>
      <c r="F391">
        <v>14.33</v>
      </c>
      <c r="G391" s="1" t="str" cm="1">
        <f t="array" ref="G391">_xlfn.IFS(D391="Eventos particulares","225",D391="Federaciones y asociaciones deportivas","250",D391="Inspecciones agrícolas","275",D391="Inspecciones técnicas","300")</f>
        <v>275</v>
      </c>
      <c r="H391" s="1">
        <f>VALUE(Tabla1[[#This Row],[Columna1]])</f>
        <v>275</v>
      </c>
      <c r="I391" s="1">
        <f t="shared" si="6"/>
        <v>3940.75</v>
      </c>
    </row>
    <row r="392" spans="1:9" x14ac:dyDescent="0.2">
      <c r="A392" s="12" t="s">
        <v>20</v>
      </c>
      <c r="B392" s="12">
        <f>DATEVALUE(Tabla1[[#This Row],[Columna2]])</f>
        <v>45574</v>
      </c>
      <c r="C392" t="s">
        <v>284</v>
      </c>
      <c r="D392" t="s">
        <v>4</v>
      </c>
      <c r="E392" t="str" cm="1">
        <f t="array" ref="E392">_xlfn.IFS(D392="Eventos particulares","Piloto Junior 1",D392="Federaciones y asociaciones deportivas","Piloto Junior 2",D392="Inspecciones agrícolas","Piloto Senior 1",D392="Inspecciones técnicas","Piloto Senior 2")</f>
        <v>Piloto Senior 2</v>
      </c>
      <c r="F392">
        <v>11.34</v>
      </c>
      <c r="G392" s="1" t="str" cm="1">
        <f t="array" ref="G392">_xlfn.IFS(D392="Eventos particulares","225",D392="Federaciones y asociaciones deportivas","250",D392="Inspecciones agrícolas","275",D392="Inspecciones técnicas","300")</f>
        <v>300</v>
      </c>
      <c r="H392" s="1">
        <f>VALUE(Tabla1[[#This Row],[Columna1]])</f>
        <v>300</v>
      </c>
      <c r="I392" s="1">
        <f t="shared" si="6"/>
        <v>3402</v>
      </c>
    </row>
    <row r="393" spans="1:9" x14ac:dyDescent="0.2">
      <c r="A393" s="12" t="s">
        <v>20</v>
      </c>
      <c r="B393" s="12">
        <f>DATEVALUE(Tabla1[[#This Row],[Columna2]])</f>
        <v>45574</v>
      </c>
      <c r="C393" t="s">
        <v>284</v>
      </c>
      <c r="D393" t="s">
        <v>4</v>
      </c>
      <c r="E393" t="str" cm="1">
        <f t="array" ref="E393">_xlfn.IFS(D393="Eventos particulares","Piloto Junior 1",D393="Federaciones y asociaciones deportivas","Piloto Junior 2",D393="Inspecciones agrícolas","Piloto Senior 1",D393="Inspecciones técnicas","Piloto Senior 2")</f>
        <v>Piloto Senior 2</v>
      </c>
      <c r="F393">
        <v>8.25</v>
      </c>
      <c r="G393" s="1" t="str" cm="1">
        <f t="array" ref="G393">_xlfn.IFS(D393="Eventos particulares","225",D393="Federaciones y asociaciones deportivas","250",D393="Inspecciones agrícolas","275",D393="Inspecciones técnicas","300")</f>
        <v>300</v>
      </c>
      <c r="H393" s="1">
        <f>VALUE(Tabla1[[#This Row],[Columna1]])</f>
        <v>300</v>
      </c>
      <c r="I393" s="1">
        <f t="shared" si="6"/>
        <v>2475</v>
      </c>
    </row>
    <row r="394" spans="1:9" x14ac:dyDescent="0.2">
      <c r="A394" s="12" t="s">
        <v>20</v>
      </c>
      <c r="B394" s="12">
        <f>DATEVALUE(Tabla1[[#This Row],[Columna2]])</f>
        <v>45574</v>
      </c>
      <c r="C394" t="s">
        <v>287</v>
      </c>
      <c r="D394" t="s">
        <v>12</v>
      </c>
      <c r="E394" t="str" cm="1">
        <f t="array" ref="E394">_xlfn.IFS(D394="Eventos particulares","Piloto Junior 1",D394="Federaciones y asociaciones deportivas","Piloto Junior 2",D394="Inspecciones agrícolas","Piloto Senior 1",D394="Inspecciones técnicas","Piloto Senior 2")</f>
        <v>Piloto Junior 1</v>
      </c>
      <c r="F394">
        <v>9.26</v>
      </c>
      <c r="G394" s="1" t="str" cm="1">
        <f t="array" ref="G394">_xlfn.IFS(D394="Eventos particulares","225",D394="Federaciones y asociaciones deportivas","250",D394="Inspecciones agrícolas","275",D394="Inspecciones técnicas","300")</f>
        <v>225</v>
      </c>
      <c r="H394" s="1">
        <f>VALUE(Tabla1[[#This Row],[Columna1]])</f>
        <v>225</v>
      </c>
      <c r="I394" s="1">
        <f t="shared" si="6"/>
        <v>2083.5</v>
      </c>
    </row>
    <row r="395" spans="1:9" x14ac:dyDescent="0.2">
      <c r="A395" s="12" t="s">
        <v>224</v>
      </c>
      <c r="B395" s="12">
        <f>DATEVALUE(Tabla1[[#This Row],[Columna2]])</f>
        <v>45575</v>
      </c>
      <c r="C395" t="s">
        <v>286</v>
      </c>
      <c r="D395" t="s">
        <v>4</v>
      </c>
      <c r="E395" t="str" cm="1">
        <f t="array" ref="E395">_xlfn.IFS(D395="Eventos particulares","Piloto Junior 1",D395="Federaciones y asociaciones deportivas","Piloto Junior 2",D395="Inspecciones agrícolas","Piloto Senior 1",D395="Inspecciones técnicas","Piloto Senior 2")</f>
        <v>Piloto Senior 2</v>
      </c>
      <c r="F395">
        <v>9.58</v>
      </c>
      <c r="G395" s="1" t="str" cm="1">
        <f t="array" ref="G395">_xlfn.IFS(D395="Eventos particulares","225",D395="Federaciones y asociaciones deportivas","250",D395="Inspecciones agrícolas","275",D395="Inspecciones técnicas","300")</f>
        <v>300</v>
      </c>
      <c r="H395" s="1">
        <f>VALUE(Tabla1[[#This Row],[Columna1]])</f>
        <v>300</v>
      </c>
      <c r="I395" s="1">
        <f t="shared" si="6"/>
        <v>2874</v>
      </c>
    </row>
    <row r="396" spans="1:9" x14ac:dyDescent="0.2">
      <c r="A396" s="12" t="s">
        <v>162</v>
      </c>
      <c r="B396" s="12">
        <f>DATEVALUE(Tabla1[[#This Row],[Columna2]])</f>
        <v>45578</v>
      </c>
      <c r="C396" t="s">
        <v>284</v>
      </c>
      <c r="D396" t="s">
        <v>6</v>
      </c>
      <c r="E396" t="str" cm="1">
        <f t="array" ref="E396">_xlfn.IFS(D396="Eventos particulares","Piloto Junior 1",D396="Federaciones y asociaciones deportivas","Piloto Junior 2",D396="Inspecciones agrícolas","Piloto Senior 1",D396="Inspecciones técnicas","Piloto Senior 2")</f>
        <v>Piloto Junior 2</v>
      </c>
      <c r="F396">
        <v>13.12</v>
      </c>
      <c r="G396" s="1" t="str" cm="1">
        <f t="array" ref="G396">_xlfn.IFS(D396="Eventos particulares","225",D396="Federaciones y asociaciones deportivas","250",D396="Inspecciones agrícolas","275",D396="Inspecciones técnicas","300")</f>
        <v>250</v>
      </c>
      <c r="H396" s="1">
        <f>VALUE(Tabla1[[#This Row],[Columna1]])</f>
        <v>250</v>
      </c>
      <c r="I396" s="1">
        <f t="shared" si="6"/>
        <v>3280</v>
      </c>
    </row>
    <row r="397" spans="1:9" x14ac:dyDescent="0.2">
      <c r="A397" s="12" t="s">
        <v>162</v>
      </c>
      <c r="B397" s="12">
        <f>DATEVALUE(Tabla1[[#This Row],[Columna2]])</f>
        <v>45578</v>
      </c>
      <c r="C397" t="s">
        <v>286</v>
      </c>
      <c r="D397" t="s">
        <v>17</v>
      </c>
      <c r="E397" t="str" cm="1">
        <f t="array" ref="E397">_xlfn.IFS(D397="Eventos particulares","Piloto Junior 1",D397="Federaciones y asociaciones deportivas","Piloto Junior 2",D397="Inspecciones agrícolas","Piloto Senior 1",D397="Inspecciones técnicas","Piloto Senior 2")</f>
        <v>Piloto Senior 1</v>
      </c>
      <c r="F397">
        <v>15.1</v>
      </c>
      <c r="G397" s="1" t="str" cm="1">
        <f t="array" ref="G397">_xlfn.IFS(D397="Eventos particulares","225",D397="Federaciones y asociaciones deportivas","250",D397="Inspecciones agrícolas","275",D397="Inspecciones técnicas","300")</f>
        <v>275</v>
      </c>
      <c r="H397" s="1">
        <f>VALUE(Tabla1[[#This Row],[Columna1]])</f>
        <v>275</v>
      </c>
      <c r="I397" s="1">
        <f t="shared" si="6"/>
        <v>4152.5</v>
      </c>
    </row>
    <row r="398" spans="1:9" x14ac:dyDescent="0.2">
      <c r="A398" s="12" t="s">
        <v>85</v>
      </c>
      <c r="B398" s="12">
        <f>DATEVALUE(Tabla1[[#This Row],[Columna2]])</f>
        <v>45579</v>
      </c>
      <c r="C398" t="s">
        <v>284</v>
      </c>
      <c r="D398" t="s">
        <v>12</v>
      </c>
      <c r="E398" t="str" cm="1">
        <f t="array" ref="E398">_xlfn.IFS(D398="Eventos particulares","Piloto Junior 1",D398="Federaciones y asociaciones deportivas","Piloto Junior 2",D398="Inspecciones agrícolas","Piloto Senior 1",D398="Inspecciones técnicas","Piloto Senior 2")</f>
        <v>Piloto Junior 1</v>
      </c>
      <c r="F398">
        <v>5.97</v>
      </c>
      <c r="G398" s="1" t="str" cm="1">
        <f t="array" ref="G398">_xlfn.IFS(D398="Eventos particulares","225",D398="Federaciones y asociaciones deportivas","250",D398="Inspecciones agrícolas","275",D398="Inspecciones técnicas","300")</f>
        <v>225</v>
      </c>
      <c r="H398" s="1">
        <f>VALUE(Tabla1[[#This Row],[Columna1]])</f>
        <v>225</v>
      </c>
      <c r="I398" s="1">
        <f t="shared" si="6"/>
        <v>1343.25</v>
      </c>
    </row>
    <row r="399" spans="1:9" x14ac:dyDescent="0.2">
      <c r="A399" s="12" t="s">
        <v>3</v>
      </c>
      <c r="B399" s="12">
        <f>DATEVALUE(Tabla1[[#This Row],[Columna2]])</f>
        <v>45580</v>
      </c>
      <c r="C399" t="s">
        <v>284</v>
      </c>
      <c r="D399" t="s">
        <v>4</v>
      </c>
      <c r="E399" t="str" cm="1">
        <f t="array" ref="E399">_xlfn.IFS(D399="Eventos particulares","Piloto Junior 1",D399="Federaciones y asociaciones deportivas","Piloto Junior 2",D399="Inspecciones agrícolas","Piloto Senior 1",D399="Inspecciones técnicas","Piloto Senior 2")</f>
        <v>Piloto Senior 2</v>
      </c>
      <c r="F399">
        <v>4.43</v>
      </c>
      <c r="G399" s="1" t="str" cm="1">
        <f t="array" ref="G399">_xlfn.IFS(D399="Eventos particulares","225",D399="Federaciones y asociaciones deportivas","250",D399="Inspecciones agrícolas","275",D399="Inspecciones técnicas","300")</f>
        <v>300</v>
      </c>
      <c r="H399" s="1">
        <f>VALUE(Tabla1[[#This Row],[Columna1]])</f>
        <v>300</v>
      </c>
      <c r="I399" s="1">
        <f t="shared" si="6"/>
        <v>1329</v>
      </c>
    </row>
    <row r="400" spans="1:9" x14ac:dyDescent="0.2">
      <c r="A400" s="12" t="s">
        <v>3</v>
      </c>
      <c r="B400" s="12">
        <f>DATEVALUE(Tabla1[[#This Row],[Columna2]])</f>
        <v>45580</v>
      </c>
      <c r="C400" t="s">
        <v>284</v>
      </c>
      <c r="D400" t="s">
        <v>6</v>
      </c>
      <c r="E400" t="str" cm="1">
        <f t="array" ref="E400">_xlfn.IFS(D400="Eventos particulares","Piloto Junior 1",D400="Federaciones y asociaciones deportivas","Piloto Junior 2",D400="Inspecciones agrícolas","Piloto Senior 1",D400="Inspecciones técnicas","Piloto Senior 2")</f>
        <v>Piloto Junior 2</v>
      </c>
      <c r="F400">
        <v>9.66</v>
      </c>
      <c r="G400" s="1" t="str" cm="1">
        <f t="array" ref="G400">_xlfn.IFS(D400="Eventos particulares","225",D400="Federaciones y asociaciones deportivas","250",D400="Inspecciones agrícolas","275",D400="Inspecciones técnicas","300")</f>
        <v>250</v>
      </c>
      <c r="H400" s="1">
        <f>VALUE(Tabla1[[#This Row],[Columna1]])</f>
        <v>250</v>
      </c>
      <c r="I400" s="1">
        <f t="shared" si="6"/>
        <v>2415</v>
      </c>
    </row>
    <row r="401" spans="1:9" x14ac:dyDescent="0.2">
      <c r="A401" s="12" t="s">
        <v>3</v>
      </c>
      <c r="B401" s="12">
        <f>DATEVALUE(Tabla1[[#This Row],[Columna2]])</f>
        <v>45580</v>
      </c>
      <c r="C401" t="s">
        <v>284</v>
      </c>
      <c r="D401" t="s">
        <v>12</v>
      </c>
      <c r="E401" t="str" cm="1">
        <f t="array" ref="E401">_xlfn.IFS(D401="Eventos particulares","Piloto Junior 1",D401="Federaciones y asociaciones deportivas","Piloto Junior 2",D401="Inspecciones agrícolas","Piloto Senior 1",D401="Inspecciones técnicas","Piloto Senior 2")</f>
        <v>Piloto Junior 1</v>
      </c>
      <c r="F401">
        <v>9.91</v>
      </c>
      <c r="G401" s="1" t="str" cm="1">
        <f t="array" ref="G401">_xlfn.IFS(D401="Eventos particulares","225",D401="Federaciones y asociaciones deportivas","250",D401="Inspecciones agrícolas","275",D401="Inspecciones técnicas","300")</f>
        <v>225</v>
      </c>
      <c r="H401" s="1">
        <f>VALUE(Tabla1[[#This Row],[Columna1]])</f>
        <v>225</v>
      </c>
      <c r="I401" s="1">
        <f t="shared" si="6"/>
        <v>2229.75</v>
      </c>
    </row>
    <row r="402" spans="1:9" x14ac:dyDescent="0.2">
      <c r="A402" s="12" t="s">
        <v>274</v>
      </c>
      <c r="B402" s="12">
        <f>DATEVALUE(Tabla1[[#This Row],[Columna2]])</f>
        <v>45582</v>
      </c>
      <c r="C402" t="s">
        <v>287</v>
      </c>
      <c r="D402" t="s">
        <v>12</v>
      </c>
      <c r="E402" t="str" cm="1">
        <f t="array" ref="E402">_xlfn.IFS(D402="Eventos particulares","Piloto Junior 1",D402="Federaciones y asociaciones deportivas","Piloto Junior 2",D402="Inspecciones agrícolas","Piloto Senior 1",D402="Inspecciones técnicas","Piloto Senior 2")</f>
        <v>Piloto Junior 1</v>
      </c>
      <c r="F402">
        <v>7.64</v>
      </c>
      <c r="G402" s="1" t="str" cm="1">
        <f t="array" ref="G402">_xlfn.IFS(D402="Eventos particulares","225",D402="Federaciones y asociaciones deportivas","250",D402="Inspecciones agrícolas","275",D402="Inspecciones técnicas","300")</f>
        <v>225</v>
      </c>
      <c r="H402" s="1">
        <f>VALUE(Tabla1[[#This Row],[Columna1]])</f>
        <v>225</v>
      </c>
      <c r="I402" s="1">
        <f t="shared" si="6"/>
        <v>1719</v>
      </c>
    </row>
    <row r="403" spans="1:9" x14ac:dyDescent="0.2">
      <c r="A403" s="12" t="s">
        <v>55</v>
      </c>
      <c r="B403" s="12">
        <f>DATEVALUE(Tabla1[[#This Row],[Columna2]])</f>
        <v>45584</v>
      </c>
      <c r="C403" t="s">
        <v>284</v>
      </c>
      <c r="D403" t="s">
        <v>12</v>
      </c>
      <c r="E403" t="str" cm="1">
        <f t="array" ref="E403">_xlfn.IFS(D403="Eventos particulares","Piloto Junior 1",D403="Federaciones y asociaciones deportivas","Piloto Junior 2",D403="Inspecciones agrícolas","Piloto Senior 1",D403="Inspecciones técnicas","Piloto Senior 2")</f>
        <v>Piloto Junior 1</v>
      </c>
      <c r="F403">
        <v>13.08</v>
      </c>
      <c r="G403" s="1" t="str" cm="1">
        <f t="array" ref="G403">_xlfn.IFS(D403="Eventos particulares","225",D403="Federaciones y asociaciones deportivas","250",D403="Inspecciones agrícolas","275",D403="Inspecciones técnicas","300")</f>
        <v>225</v>
      </c>
      <c r="H403" s="1">
        <f>VALUE(Tabla1[[#This Row],[Columna1]])</f>
        <v>225</v>
      </c>
      <c r="I403" s="1">
        <f t="shared" si="6"/>
        <v>2943</v>
      </c>
    </row>
    <row r="404" spans="1:9" x14ac:dyDescent="0.2">
      <c r="A404" s="12" t="s">
        <v>55</v>
      </c>
      <c r="B404" s="12">
        <f>DATEVALUE(Tabla1[[#This Row],[Columna2]])</f>
        <v>45584</v>
      </c>
      <c r="C404" t="s">
        <v>285</v>
      </c>
      <c r="D404" t="s">
        <v>4</v>
      </c>
      <c r="E404" t="str" cm="1">
        <f t="array" ref="E404">_xlfn.IFS(D404="Eventos particulares","Piloto Junior 1",D404="Federaciones y asociaciones deportivas","Piloto Junior 2",D404="Inspecciones agrícolas","Piloto Senior 1",D404="Inspecciones técnicas","Piloto Senior 2")</f>
        <v>Piloto Senior 2</v>
      </c>
      <c r="F404">
        <v>4.37</v>
      </c>
      <c r="G404" s="1" t="str" cm="1">
        <f t="array" ref="G404">_xlfn.IFS(D404="Eventos particulares","225",D404="Federaciones y asociaciones deportivas","250",D404="Inspecciones agrícolas","275",D404="Inspecciones técnicas","300")</f>
        <v>300</v>
      </c>
      <c r="H404" s="1">
        <f>VALUE(Tabla1[[#This Row],[Columna1]])</f>
        <v>300</v>
      </c>
      <c r="I404" s="1">
        <f t="shared" si="6"/>
        <v>1311</v>
      </c>
    </row>
    <row r="405" spans="1:9" x14ac:dyDescent="0.2">
      <c r="A405" s="12" t="s">
        <v>55</v>
      </c>
      <c r="B405" s="12">
        <f>DATEVALUE(Tabla1[[#This Row],[Columna2]])</f>
        <v>45584</v>
      </c>
      <c r="C405" t="s">
        <v>286</v>
      </c>
      <c r="D405" t="s">
        <v>12</v>
      </c>
      <c r="E405" t="str" cm="1">
        <f t="array" ref="E405">_xlfn.IFS(D405="Eventos particulares","Piloto Junior 1",D405="Federaciones y asociaciones deportivas","Piloto Junior 2",D405="Inspecciones agrícolas","Piloto Senior 1",D405="Inspecciones técnicas","Piloto Senior 2")</f>
        <v>Piloto Junior 1</v>
      </c>
      <c r="F405">
        <v>15.62</v>
      </c>
      <c r="G405" s="1" t="str" cm="1">
        <f t="array" ref="G405">_xlfn.IFS(D405="Eventos particulares","225",D405="Federaciones y asociaciones deportivas","250",D405="Inspecciones agrícolas","275",D405="Inspecciones técnicas","300")</f>
        <v>225</v>
      </c>
      <c r="H405" s="1">
        <f>VALUE(Tabla1[[#This Row],[Columna1]])</f>
        <v>225</v>
      </c>
      <c r="I405" s="1">
        <f t="shared" si="6"/>
        <v>3514.5</v>
      </c>
    </row>
    <row r="406" spans="1:9" x14ac:dyDescent="0.2">
      <c r="A406" s="12" t="s">
        <v>142</v>
      </c>
      <c r="B406" s="12">
        <f>DATEVALUE(Tabla1[[#This Row],[Columna2]])</f>
        <v>45585</v>
      </c>
      <c r="C406" t="s">
        <v>284</v>
      </c>
      <c r="D406" t="s">
        <v>4</v>
      </c>
      <c r="E406" t="str" cm="1">
        <f t="array" ref="E406">_xlfn.IFS(D406="Eventos particulares","Piloto Junior 1",D406="Federaciones y asociaciones deportivas","Piloto Junior 2",D406="Inspecciones agrícolas","Piloto Senior 1",D406="Inspecciones técnicas","Piloto Senior 2")</f>
        <v>Piloto Senior 2</v>
      </c>
      <c r="F406">
        <v>4.05</v>
      </c>
      <c r="G406" s="1" t="str" cm="1">
        <f t="array" ref="G406">_xlfn.IFS(D406="Eventos particulares","225",D406="Federaciones y asociaciones deportivas","250",D406="Inspecciones agrícolas","275",D406="Inspecciones técnicas","300")</f>
        <v>300</v>
      </c>
      <c r="H406" s="1">
        <f>VALUE(Tabla1[[#This Row],[Columna1]])</f>
        <v>300</v>
      </c>
      <c r="I406" s="1">
        <f t="shared" si="6"/>
        <v>1215</v>
      </c>
    </row>
    <row r="407" spans="1:9" x14ac:dyDescent="0.2">
      <c r="A407" s="12" t="s">
        <v>142</v>
      </c>
      <c r="B407" s="12">
        <f>DATEVALUE(Tabla1[[#This Row],[Columna2]])</f>
        <v>45585</v>
      </c>
      <c r="C407" t="s">
        <v>286</v>
      </c>
      <c r="D407" t="s">
        <v>4</v>
      </c>
      <c r="E407" t="str" cm="1">
        <f t="array" ref="E407">_xlfn.IFS(D407="Eventos particulares","Piloto Junior 1",D407="Federaciones y asociaciones deportivas","Piloto Junior 2",D407="Inspecciones agrícolas","Piloto Senior 1",D407="Inspecciones técnicas","Piloto Senior 2")</f>
        <v>Piloto Senior 2</v>
      </c>
      <c r="F407">
        <v>11.8</v>
      </c>
      <c r="G407" s="1" t="str" cm="1">
        <f t="array" ref="G407">_xlfn.IFS(D407="Eventos particulares","225",D407="Federaciones y asociaciones deportivas","250",D407="Inspecciones agrícolas","275",D407="Inspecciones técnicas","300")</f>
        <v>300</v>
      </c>
      <c r="H407" s="1">
        <f>VALUE(Tabla1[[#This Row],[Columna1]])</f>
        <v>300</v>
      </c>
      <c r="I407" s="1">
        <f t="shared" si="6"/>
        <v>3540</v>
      </c>
    </row>
    <row r="408" spans="1:9" x14ac:dyDescent="0.2">
      <c r="A408" s="12" t="s">
        <v>142</v>
      </c>
      <c r="B408" s="12">
        <f>DATEVALUE(Tabla1[[#This Row],[Columna2]])</f>
        <v>45585</v>
      </c>
      <c r="C408" t="s">
        <v>287</v>
      </c>
      <c r="D408" t="s">
        <v>12</v>
      </c>
      <c r="E408" t="str" cm="1">
        <f t="array" ref="E408">_xlfn.IFS(D408="Eventos particulares","Piloto Junior 1",D408="Federaciones y asociaciones deportivas","Piloto Junior 2",D408="Inspecciones agrícolas","Piloto Senior 1",D408="Inspecciones técnicas","Piloto Senior 2")</f>
        <v>Piloto Junior 1</v>
      </c>
      <c r="F408">
        <v>7.97</v>
      </c>
      <c r="G408" s="1" t="str" cm="1">
        <f t="array" ref="G408">_xlfn.IFS(D408="Eventos particulares","225",D408="Federaciones y asociaciones deportivas","250",D408="Inspecciones agrícolas","275",D408="Inspecciones técnicas","300")</f>
        <v>225</v>
      </c>
      <c r="H408" s="1">
        <f>VALUE(Tabla1[[#This Row],[Columna1]])</f>
        <v>225</v>
      </c>
      <c r="I408" s="1">
        <f t="shared" si="6"/>
        <v>1793.25</v>
      </c>
    </row>
    <row r="409" spans="1:9" x14ac:dyDescent="0.2">
      <c r="A409" s="12" t="s">
        <v>136</v>
      </c>
      <c r="B409" s="12">
        <f>DATEVALUE(Tabla1[[#This Row],[Columna2]])</f>
        <v>45586</v>
      </c>
      <c r="C409" t="s">
        <v>284</v>
      </c>
      <c r="D409" t="s">
        <v>12</v>
      </c>
      <c r="E409" t="str" cm="1">
        <f t="array" ref="E409">_xlfn.IFS(D409="Eventos particulares","Piloto Junior 1",D409="Federaciones y asociaciones deportivas","Piloto Junior 2",D409="Inspecciones agrícolas","Piloto Senior 1",D409="Inspecciones técnicas","Piloto Senior 2")</f>
        <v>Piloto Junior 1</v>
      </c>
      <c r="F409">
        <v>13.26</v>
      </c>
      <c r="G409" s="1" t="str" cm="1">
        <f t="array" ref="G409">_xlfn.IFS(D409="Eventos particulares","225",D409="Federaciones y asociaciones deportivas","250",D409="Inspecciones agrícolas","275",D409="Inspecciones técnicas","300")</f>
        <v>225</v>
      </c>
      <c r="H409" s="1">
        <f>VALUE(Tabla1[[#This Row],[Columna1]])</f>
        <v>225</v>
      </c>
      <c r="I409" s="1">
        <f t="shared" si="6"/>
        <v>2983.5</v>
      </c>
    </row>
    <row r="410" spans="1:9" x14ac:dyDescent="0.2">
      <c r="A410" s="12" t="s">
        <v>8</v>
      </c>
      <c r="B410" s="12">
        <f>DATEVALUE(Tabla1[[#This Row],[Columna2]])</f>
        <v>45587</v>
      </c>
      <c r="C410" t="s">
        <v>284</v>
      </c>
      <c r="D410" t="s">
        <v>6</v>
      </c>
      <c r="E410" t="str" cm="1">
        <f t="array" ref="E410">_xlfn.IFS(D410="Eventos particulares","Piloto Junior 1",D410="Federaciones y asociaciones deportivas","Piloto Junior 2",D410="Inspecciones agrícolas","Piloto Senior 1",D410="Inspecciones técnicas","Piloto Senior 2")</f>
        <v>Piloto Junior 2</v>
      </c>
      <c r="F410">
        <v>6.64</v>
      </c>
      <c r="G410" s="1" t="str" cm="1">
        <f t="array" ref="G410">_xlfn.IFS(D410="Eventos particulares","225",D410="Federaciones y asociaciones deportivas","250",D410="Inspecciones agrícolas","275",D410="Inspecciones técnicas","300")</f>
        <v>250</v>
      </c>
      <c r="H410" s="1">
        <f>VALUE(Tabla1[[#This Row],[Columna1]])</f>
        <v>250</v>
      </c>
      <c r="I410" s="1">
        <f t="shared" si="6"/>
        <v>1660</v>
      </c>
    </row>
    <row r="411" spans="1:9" x14ac:dyDescent="0.2">
      <c r="A411" s="12" t="s">
        <v>8</v>
      </c>
      <c r="B411" s="12">
        <f>DATEVALUE(Tabla1[[#This Row],[Columna2]])</f>
        <v>45587</v>
      </c>
      <c r="C411" t="s">
        <v>284</v>
      </c>
      <c r="D411" t="s">
        <v>4</v>
      </c>
      <c r="E411" t="str" cm="1">
        <f t="array" ref="E411">_xlfn.IFS(D411="Eventos particulares","Piloto Junior 1",D411="Federaciones y asociaciones deportivas","Piloto Junior 2",D411="Inspecciones agrícolas","Piloto Senior 1",D411="Inspecciones técnicas","Piloto Senior 2")</f>
        <v>Piloto Senior 2</v>
      </c>
      <c r="F411">
        <v>4.5599999999999996</v>
      </c>
      <c r="G411" s="1" t="str" cm="1">
        <f t="array" ref="G411">_xlfn.IFS(D411="Eventos particulares","225",D411="Federaciones y asociaciones deportivas","250",D411="Inspecciones agrícolas","275",D411="Inspecciones técnicas","300")</f>
        <v>300</v>
      </c>
      <c r="H411" s="1">
        <f>VALUE(Tabla1[[#This Row],[Columna1]])</f>
        <v>300</v>
      </c>
      <c r="I411" s="1">
        <f t="shared" si="6"/>
        <v>1367.9999999999998</v>
      </c>
    </row>
    <row r="412" spans="1:9" x14ac:dyDescent="0.2">
      <c r="A412" s="12" t="s">
        <v>8</v>
      </c>
      <c r="B412" s="12">
        <f>DATEVALUE(Tabla1[[#This Row],[Columna2]])</f>
        <v>45587</v>
      </c>
      <c r="C412" t="s">
        <v>284</v>
      </c>
      <c r="D412" t="s">
        <v>4</v>
      </c>
      <c r="E412" t="str" cm="1">
        <f t="array" ref="E412">_xlfn.IFS(D412="Eventos particulares","Piloto Junior 1",D412="Federaciones y asociaciones deportivas","Piloto Junior 2",D412="Inspecciones agrícolas","Piloto Senior 1",D412="Inspecciones técnicas","Piloto Senior 2")</f>
        <v>Piloto Senior 2</v>
      </c>
      <c r="F412">
        <v>11.56</v>
      </c>
      <c r="G412" s="1" t="str" cm="1">
        <f t="array" ref="G412">_xlfn.IFS(D412="Eventos particulares","225",D412="Federaciones y asociaciones deportivas","250",D412="Inspecciones agrícolas","275",D412="Inspecciones técnicas","300")</f>
        <v>300</v>
      </c>
      <c r="H412" s="1">
        <f>VALUE(Tabla1[[#This Row],[Columna1]])</f>
        <v>300</v>
      </c>
      <c r="I412" s="1">
        <f t="shared" si="6"/>
        <v>3468</v>
      </c>
    </row>
    <row r="413" spans="1:9" x14ac:dyDescent="0.2">
      <c r="A413" s="12" t="s">
        <v>62</v>
      </c>
      <c r="B413" s="12">
        <f>DATEVALUE(Tabla1[[#This Row],[Columna2]])</f>
        <v>45589</v>
      </c>
      <c r="C413" t="s">
        <v>284</v>
      </c>
      <c r="D413" t="s">
        <v>4</v>
      </c>
      <c r="E413" t="str" cm="1">
        <f t="array" ref="E413">_xlfn.IFS(D413="Eventos particulares","Piloto Junior 1",D413="Federaciones y asociaciones deportivas","Piloto Junior 2",D413="Inspecciones agrícolas","Piloto Senior 1",D413="Inspecciones técnicas","Piloto Senior 2")</f>
        <v>Piloto Senior 2</v>
      </c>
      <c r="F413">
        <v>4.2699999999999996</v>
      </c>
      <c r="G413" s="1" t="str" cm="1">
        <f t="array" ref="G413">_xlfn.IFS(D413="Eventos particulares","225",D413="Federaciones y asociaciones deportivas","250",D413="Inspecciones agrícolas","275",D413="Inspecciones técnicas","300")</f>
        <v>300</v>
      </c>
      <c r="H413" s="1">
        <f>VALUE(Tabla1[[#This Row],[Columna1]])</f>
        <v>300</v>
      </c>
      <c r="I413" s="1">
        <f t="shared" si="6"/>
        <v>1280.9999999999998</v>
      </c>
    </row>
    <row r="414" spans="1:9" x14ac:dyDescent="0.2">
      <c r="A414" s="12" t="s">
        <v>62</v>
      </c>
      <c r="B414" s="12">
        <f>DATEVALUE(Tabla1[[#This Row],[Columna2]])</f>
        <v>45589</v>
      </c>
      <c r="C414" t="s">
        <v>284</v>
      </c>
      <c r="D414" t="s">
        <v>4</v>
      </c>
      <c r="E414" t="str" cm="1">
        <f t="array" ref="E414">_xlfn.IFS(D414="Eventos particulares","Piloto Junior 1",D414="Federaciones y asociaciones deportivas","Piloto Junior 2",D414="Inspecciones agrícolas","Piloto Senior 1",D414="Inspecciones técnicas","Piloto Senior 2")</f>
        <v>Piloto Senior 2</v>
      </c>
      <c r="F414">
        <v>13.99</v>
      </c>
      <c r="G414" s="1" t="str" cm="1">
        <f t="array" ref="G414">_xlfn.IFS(D414="Eventos particulares","225",D414="Federaciones y asociaciones deportivas","250",D414="Inspecciones agrícolas","275",D414="Inspecciones técnicas","300")</f>
        <v>300</v>
      </c>
      <c r="H414" s="1">
        <f>VALUE(Tabla1[[#This Row],[Columna1]])</f>
        <v>300</v>
      </c>
      <c r="I414" s="1">
        <f t="shared" si="6"/>
        <v>4197</v>
      </c>
    </row>
    <row r="415" spans="1:9" x14ac:dyDescent="0.2">
      <c r="A415" s="12" t="s">
        <v>89</v>
      </c>
      <c r="B415" s="12">
        <f>DATEVALUE(Tabla1[[#This Row],[Columna2]])</f>
        <v>45590</v>
      </c>
      <c r="C415" t="s">
        <v>284</v>
      </c>
      <c r="D415" t="s">
        <v>4</v>
      </c>
      <c r="E415" t="str" cm="1">
        <f t="array" ref="E415">_xlfn.IFS(D415="Eventos particulares","Piloto Junior 1",D415="Federaciones y asociaciones deportivas","Piloto Junior 2",D415="Inspecciones agrícolas","Piloto Senior 1",D415="Inspecciones técnicas","Piloto Senior 2")</f>
        <v>Piloto Senior 2</v>
      </c>
      <c r="F415">
        <v>7.81</v>
      </c>
      <c r="G415" s="1" t="str" cm="1">
        <f t="array" ref="G415">_xlfn.IFS(D415="Eventos particulares","225",D415="Federaciones y asociaciones deportivas","250",D415="Inspecciones agrícolas","275",D415="Inspecciones técnicas","300")</f>
        <v>300</v>
      </c>
      <c r="H415" s="1">
        <f>VALUE(Tabla1[[#This Row],[Columna1]])</f>
        <v>300</v>
      </c>
      <c r="I415" s="1">
        <f t="shared" si="6"/>
        <v>2343</v>
      </c>
    </row>
    <row r="416" spans="1:9" x14ac:dyDescent="0.2">
      <c r="A416" s="12" t="s">
        <v>89</v>
      </c>
      <c r="B416" s="12">
        <f>DATEVALUE(Tabla1[[#This Row],[Columna2]])</f>
        <v>45590</v>
      </c>
      <c r="C416" t="s">
        <v>285</v>
      </c>
      <c r="D416" t="s">
        <v>12</v>
      </c>
      <c r="E416" t="str" cm="1">
        <f t="array" ref="E416">_xlfn.IFS(D416="Eventos particulares","Piloto Junior 1",D416="Federaciones y asociaciones deportivas","Piloto Junior 2",D416="Inspecciones agrícolas","Piloto Senior 1",D416="Inspecciones técnicas","Piloto Senior 2")</f>
        <v>Piloto Junior 1</v>
      </c>
      <c r="F416">
        <v>11.82</v>
      </c>
      <c r="G416" s="1" t="str" cm="1">
        <f t="array" ref="G416">_xlfn.IFS(D416="Eventos particulares","225",D416="Federaciones y asociaciones deportivas","250",D416="Inspecciones agrícolas","275",D416="Inspecciones técnicas","300")</f>
        <v>225</v>
      </c>
      <c r="H416" s="1">
        <f>VALUE(Tabla1[[#This Row],[Columna1]])</f>
        <v>225</v>
      </c>
      <c r="I416" s="1">
        <f t="shared" si="6"/>
        <v>2659.5</v>
      </c>
    </row>
    <row r="417" spans="1:9" x14ac:dyDescent="0.2">
      <c r="A417" s="12" t="s">
        <v>15</v>
      </c>
      <c r="B417" s="12">
        <f>DATEVALUE(Tabla1[[#This Row],[Columna2]])</f>
        <v>45591</v>
      </c>
      <c r="C417" t="s">
        <v>284</v>
      </c>
      <c r="D417" t="s">
        <v>6</v>
      </c>
      <c r="E417" t="str" cm="1">
        <f t="array" ref="E417">_xlfn.IFS(D417="Eventos particulares","Piloto Junior 1",D417="Federaciones y asociaciones deportivas","Piloto Junior 2",D417="Inspecciones agrícolas","Piloto Senior 1",D417="Inspecciones técnicas","Piloto Senior 2")</f>
        <v>Piloto Junior 2</v>
      </c>
      <c r="F417">
        <v>6.59</v>
      </c>
      <c r="G417" s="1" t="str" cm="1">
        <f t="array" ref="G417">_xlfn.IFS(D417="Eventos particulares","225",D417="Federaciones y asociaciones deportivas","250",D417="Inspecciones agrícolas","275",D417="Inspecciones técnicas","300")</f>
        <v>250</v>
      </c>
      <c r="H417" s="1">
        <f>VALUE(Tabla1[[#This Row],[Columna1]])</f>
        <v>250</v>
      </c>
      <c r="I417" s="1">
        <f t="shared" si="6"/>
        <v>1647.5</v>
      </c>
    </row>
    <row r="418" spans="1:9" x14ac:dyDescent="0.2">
      <c r="A418" s="12" t="s">
        <v>15</v>
      </c>
      <c r="B418" s="12">
        <f>DATEVALUE(Tabla1[[#This Row],[Columna2]])</f>
        <v>45591</v>
      </c>
      <c r="C418" t="s">
        <v>284</v>
      </c>
      <c r="D418" t="s">
        <v>17</v>
      </c>
      <c r="E418" t="str" cm="1">
        <f t="array" ref="E418">_xlfn.IFS(D418="Eventos particulares","Piloto Junior 1",D418="Federaciones y asociaciones deportivas","Piloto Junior 2",D418="Inspecciones agrícolas","Piloto Senior 1",D418="Inspecciones técnicas","Piloto Senior 2")</f>
        <v>Piloto Senior 1</v>
      </c>
      <c r="F418">
        <v>5.89</v>
      </c>
      <c r="G418" s="1" t="str" cm="1">
        <f t="array" ref="G418">_xlfn.IFS(D418="Eventos particulares","225",D418="Federaciones y asociaciones deportivas","250",D418="Inspecciones agrícolas","275",D418="Inspecciones técnicas","300")</f>
        <v>275</v>
      </c>
      <c r="H418" s="1">
        <f>VALUE(Tabla1[[#This Row],[Columna1]])</f>
        <v>275</v>
      </c>
      <c r="I418" s="1">
        <f t="shared" si="6"/>
        <v>1619.75</v>
      </c>
    </row>
    <row r="419" spans="1:9" x14ac:dyDescent="0.2">
      <c r="A419" s="12" t="s">
        <v>15</v>
      </c>
      <c r="B419" s="12">
        <f>DATEVALUE(Tabla1[[#This Row],[Columna2]])</f>
        <v>45591</v>
      </c>
      <c r="C419" t="s">
        <v>285</v>
      </c>
      <c r="D419" t="s">
        <v>12</v>
      </c>
      <c r="E419" t="str" cm="1">
        <f t="array" ref="E419">_xlfn.IFS(D419="Eventos particulares","Piloto Junior 1",D419="Federaciones y asociaciones deportivas","Piloto Junior 2",D419="Inspecciones agrícolas","Piloto Senior 1",D419="Inspecciones técnicas","Piloto Senior 2")</f>
        <v>Piloto Junior 1</v>
      </c>
      <c r="F419">
        <v>7.66</v>
      </c>
      <c r="G419" s="1" t="str" cm="1">
        <f t="array" ref="G419">_xlfn.IFS(D419="Eventos particulares","225",D419="Federaciones y asociaciones deportivas","250",D419="Inspecciones agrícolas","275",D419="Inspecciones técnicas","300")</f>
        <v>225</v>
      </c>
      <c r="H419" s="1">
        <f>VALUE(Tabla1[[#This Row],[Columna1]])</f>
        <v>225</v>
      </c>
      <c r="I419" s="1">
        <f t="shared" si="6"/>
        <v>1723.5</v>
      </c>
    </row>
    <row r="420" spans="1:9" x14ac:dyDescent="0.2">
      <c r="A420" s="12" t="s">
        <v>11</v>
      </c>
      <c r="B420" s="12">
        <f>DATEVALUE(Tabla1[[#This Row],[Columna2]])</f>
        <v>45592</v>
      </c>
      <c r="C420" t="s">
        <v>284</v>
      </c>
      <c r="D420" t="s">
        <v>12</v>
      </c>
      <c r="E420" t="str" cm="1">
        <f t="array" ref="E420">_xlfn.IFS(D420="Eventos particulares","Piloto Junior 1",D420="Federaciones y asociaciones deportivas","Piloto Junior 2",D420="Inspecciones agrícolas","Piloto Senior 1",D420="Inspecciones técnicas","Piloto Senior 2")</f>
        <v>Piloto Junior 1</v>
      </c>
      <c r="F420">
        <v>13.26</v>
      </c>
      <c r="G420" s="1" t="str" cm="1">
        <f t="array" ref="G420">_xlfn.IFS(D420="Eventos particulares","225",D420="Federaciones y asociaciones deportivas","250",D420="Inspecciones agrícolas","275",D420="Inspecciones técnicas","300")</f>
        <v>225</v>
      </c>
      <c r="H420" s="1">
        <f>VALUE(Tabla1[[#This Row],[Columna1]])</f>
        <v>225</v>
      </c>
      <c r="I420" s="1">
        <f t="shared" si="6"/>
        <v>2983.5</v>
      </c>
    </row>
    <row r="421" spans="1:9" x14ac:dyDescent="0.2">
      <c r="A421" s="12" t="s">
        <v>104</v>
      </c>
      <c r="B421" s="12">
        <f>DATEVALUE(Tabla1[[#This Row],[Columna2]])</f>
        <v>45593</v>
      </c>
      <c r="C421" t="s">
        <v>284</v>
      </c>
      <c r="D421" t="s">
        <v>4</v>
      </c>
      <c r="E421" t="str" cm="1">
        <f t="array" ref="E421">_xlfn.IFS(D421="Eventos particulares","Piloto Junior 1",D421="Federaciones y asociaciones deportivas","Piloto Junior 2",D421="Inspecciones agrícolas","Piloto Senior 1",D421="Inspecciones técnicas","Piloto Senior 2")</f>
        <v>Piloto Senior 2</v>
      </c>
      <c r="F421">
        <v>6.17</v>
      </c>
      <c r="G421" s="1" t="str" cm="1">
        <f t="array" ref="G421">_xlfn.IFS(D421="Eventos particulares","225",D421="Federaciones y asociaciones deportivas","250",D421="Inspecciones agrícolas","275",D421="Inspecciones técnicas","300")</f>
        <v>300</v>
      </c>
      <c r="H421" s="1">
        <f>VALUE(Tabla1[[#This Row],[Columna1]])</f>
        <v>300</v>
      </c>
      <c r="I421" s="1">
        <f t="shared" si="6"/>
        <v>1851</v>
      </c>
    </row>
    <row r="422" spans="1:9" x14ac:dyDescent="0.2">
      <c r="A422" s="12" t="s">
        <v>18</v>
      </c>
      <c r="B422" s="12">
        <f>DATEVALUE(Tabla1[[#This Row],[Columna2]])</f>
        <v>45594</v>
      </c>
      <c r="C422" t="s">
        <v>284</v>
      </c>
      <c r="D422" t="s">
        <v>4</v>
      </c>
      <c r="E422" t="str" cm="1">
        <f t="array" ref="E422">_xlfn.IFS(D422="Eventos particulares","Piloto Junior 1",D422="Federaciones y asociaciones deportivas","Piloto Junior 2",D422="Inspecciones agrícolas","Piloto Senior 1",D422="Inspecciones técnicas","Piloto Senior 2")</f>
        <v>Piloto Senior 2</v>
      </c>
      <c r="F422">
        <v>6.82</v>
      </c>
      <c r="G422" s="1" t="str" cm="1">
        <f t="array" ref="G422">_xlfn.IFS(D422="Eventos particulares","225",D422="Federaciones y asociaciones deportivas","250",D422="Inspecciones agrícolas","275",D422="Inspecciones técnicas","300")</f>
        <v>300</v>
      </c>
      <c r="H422" s="1">
        <f>VALUE(Tabla1[[#This Row],[Columna1]])</f>
        <v>300</v>
      </c>
      <c r="I422" s="1">
        <f t="shared" si="6"/>
        <v>2046</v>
      </c>
    </row>
    <row r="423" spans="1:9" x14ac:dyDescent="0.2">
      <c r="A423" s="12" t="s">
        <v>213</v>
      </c>
      <c r="B423" s="12">
        <f>DATEVALUE(Tabla1[[#This Row],[Columna2]])</f>
        <v>45595</v>
      </c>
      <c r="C423" t="s">
        <v>285</v>
      </c>
      <c r="D423" t="s">
        <v>4</v>
      </c>
      <c r="E423" t="str" cm="1">
        <f t="array" ref="E423">_xlfn.IFS(D423="Eventos particulares","Piloto Junior 1",D423="Federaciones y asociaciones deportivas","Piloto Junior 2",D423="Inspecciones agrícolas","Piloto Senior 1",D423="Inspecciones técnicas","Piloto Senior 2")</f>
        <v>Piloto Senior 2</v>
      </c>
      <c r="F423">
        <v>15.93</v>
      </c>
      <c r="G423" s="1" t="str" cm="1">
        <f t="array" ref="G423">_xlfn.IFS(D423="Eventos particulares","225",D423="Federaciones y asociaciones deportivas","250",D423="Inspecciones agrícolas","275",D423="Inspecciones técnicas","300")</f>
        <v>300</v>
      </c>
      <c r="H423" s="1">
        <f>VALUE(Tabla1[[#This Row],[Columna1]])</f>
        <v>300</v>
      </c>
      <c r="I423" s="1">
        <f t="shared" si="6"/>
        <v>4779</v>
      </c>
    </row>
    <row r="424" spans="1:9" x14ac:dyDescent="0.2">
      <c r="A424" s="12" t="s">
        <v>200</v>
      </c>
      <c r="B424" s="12">
        <f>DATEVALUE(Tabla1[[#This Row],[Columna2]])</f>
        <v>45596</v>
      </c>
      <c r="C424" t="s">
        <v>285</v>
      </c>
      <c r="D424" t="s">
        <v>4</v>
      </c>
      <c r="E424" t="str" cm="1">
        <f t="array" ref="E424">_xlfn.IFS(D424="Eventos particulares","Piloto Junior 1",D424="Federaciones y asociaciones deportivas","Piloto Junior 2",D424="Inspecciones agrícolas","Piloto Senior 1",D424="Inspecciones técnicas","Piloto Senior 2")</f>
        <v>Piloto Senior 2</v>
      </c>
      <c r="F424">
        <v>11.04</v>
      </c>
      <c r="G424" s="1" t="str" cm="1">
        <f t="array" ref="G424">_xlfn.IFS(D424="Eventos particulares","225",D424="Federaciones y asociaciones deportivas","250",D424="Inspecciones agrícolas","275",D424="Inspecciones técnicas","300")</f>
        <v>300</v>
      </c>
      <c r="H424" s="1">
        <f>VALUE(Tabla1[[#This Row],[Columna1]])</f>
        <v>300</v>
      </c>
      <c r="I424" s="1">
        <f t="shared" si="6"/>
        <v>3311.9999999999995</v>
      </c>
    </row>
    <row r="425" spans="1:9" x14ac:dyDescent="0.2">
      <c r="A425" s="12" t="s">
        <v>200</v>
      </c>
      <c r="B425" s="12">
        <f>DATEVALUE(Tabla1[[#This Row],[Columna2]])</f>
        <v>45596</v>
      </c>
      <c r="C425" t="s">
        <v>286</v>
      </c>
      <c r="D425" t="s">
        <v>6</v>
      </c>
      <c r="E425" t="str" cm="1">
        <f t="array" ref="E425">_xlfn.IFS(D425="Eventos particulares","Piloto Junior 1",D425="Federaciones y asociaciones deportivas","Piloto Junior 2",D425="Inspecciones agrícolas","Piloto Senior 1",D425="Inspecciones técnicas","Piloto Senior 2")</f>
        <v>Piloto Junior 2</v>
      </c>
      <c r="F425">
        <v>4.92</v>
      </c>
      <c r="G425" s="1" t="str" cm="1">
        <f t="array" ref="G425">_xlfn.IFS(D425="Eventos particulares","225",D425="Federaciones y asociaciones deportivas","250",D425="Inspecciones agrícolas","275",D425="Inspecciones técnicas","300")</f>
        <v>250</v>
      </c>
      <c r="H425" s="1">
        <f>VALUE(Tabla1[[#This Row],[Columna1]])</f>
        <v>250</v>
      </c>
      <c r="I425" s="1">
        <f t="shared" si="6"/>
        <v>1230</v>
      </c>
    </row>
    <row r="426" spans="1:9" x14ac:dyDescent="0.2">
      <c r="A426" s="12" t="s">
        <v>96</v>
      </c>
      <c r="B426" s="12">
        <f>DATEVALUE(Tabla1[[#This Row],[Columna2]])</f>
        <v>45597</v>
      </c>
      <c r="C426" t="s">
        <v>284</v>
      </c>
      <c r="D426" t="s">
        <v>6</v>
      </c>
      <c r="E426" t="str" cm="1">
        <f t="array" ref="E426">_xlfn.IFS(D426="Eventos particulares","Piloto Junior 1",D426="Federaciones y asociaciones deportivas","Piloto Junior 2",D426="Inspecciones agrícolas","Piloto Senior 1",D426="Inspecciones técnicas","Piloto Senior 2")</f>
        <v>Piloto Junior 2</v>
      </c>
      <c r="F426">
        <v>4.96</v>
      </c>
      <c r="G426" s="1" t="str" cm="1">
        <f t="array" ref="G426">_xlfn.IFS(D426="Eventos particulares","225",D426="Federaciones y asociaciones deportivas","250",D426="Inspecciones agrícolas","275",D426="Inspecciones técnicas","300")</f>
        <v>250</v>
      </c>
      <c r="H426" s="1">
        <f>VALUE(Tabla1[[#This Row],[Columna1]])</f>
        <v>250</v>
      </c>
      <c r="I426" s="1">
        <f t="shared" si="6"/>
        <v>1240</v>
      </c>
    </row>
    <row r="427" spans="1:9" x14ac:dyDescent="0.2">
      <c r="A427" s="12" t="s">
        <v>248</v>
      </c>
      <c r="B427" s="12">
        <f>DATEVALUE(Tabla1[[#This Row],[Columna2]])</f>
        <v>45598</v>
      </c>
      <c r="C427" t="s">
        <v>286</v>
      </c>
      <c r="D427" t="s">
        <v>4</v>
      </c>
      <c r="E427" t="str" cm="1">
        <f t="array" ref="E427">_xlfn.IFS(D427="Eventos particulares","Piloto Junior 1",D427="Federaciones y asociaciones deportivas","Piloto Junior 2",D427="Inspecciones agrícolas","Piloto Senior 1",D427="Inspecciones técnicas","Piloto Senior 2")</f>
        <v>Piloto Senior 2</v>
      </c>
      <c r="F427">
        <v>4.82</v>
      </c>
      <c r="G427" s="1" t="str" cm="1">
        <f t="array" ref="G427">_xlfn.IFS(D427="Eventos particulares","225",D427="Federaciones y asociaciones deportivas","250",D427="Inspecciones agrícolas","275",D427="Inspecciones técnicas","300")</f>
        <v>300</v>
      </c>
      <c r="H427" s="1">
        <f>VALUE(Tabla1[[#This Row],[Columna1]])</f>
        <v>300</v>
      </c>
      <c r="I427" s="1">
        <f t="shared" si="6"/>
        <v>1446</v>
      </c>
    </row>
    <row r="428" spans="1:9" x14ac:dyDescent="0.2">
      <c r="A428" s="12" t="s">
        <v>37</v>
      </c>
      <c r="B428" s="12">
        <f>DATEVALUE(Tabla1[[#This Row],[Columna2]])</f>
        <v>45599</v>
      </c>
      <c r="C428" t="s">
        <v>284</v>
      </c>
      <c r="D428" t="s">
        <v>17</v>
      </c>
      <c r="E428" t="str" cm="1">
        <f t="array" ref="E428">_xlfn.IFS(D428="Eventos particulares","Piloto Junior 1",D428="Federaciones y asociaciones deportivas","Piloto Junior 2",D428="Inspecciones agrícolas","Piloto Senior 1",D428="Inspecciones técnicas","Piloto Senior 2")</f>
        <v>Piloto Senior 1</v>
      </c>
      <c r="F428">
        <v>9.5399999999999991</v>
      </c>
      <c r="G428" s="1" t="str" cm="1">
        <f t="array" ref="G428">_xlfn.IFS(D428="Eventos particulares","225",D428="Federaciones y asociaciones deportivas","250",D428="Inspecciones agrícolas","275",D428="Inspecciones técnicas","300")</f>
        <v>275</v>
      </c>
      <c r="H428" s="1">
        <f>VALUE(Tabla1[[#This Row],[Columna1]])</f>
        <v>275</v>
      </c>
      <c r="I428" s="1">
        <f t="shared" si="6"/>
        <v>2623.4999999999995</v>
      </c>
    </row>
    <row r="429" spans="1:9" x14ac:dyDescent="0.2">
      <c r="A429" s="12" t="s">
        <v>37</v>
      </c>
      <c r="B429" s="12">
        <f>DATEVALUE(Tabla1[[#This Row],[Columna2]])</f>
        <v>45599</v>
      </c>
      <c r="C429" t="s">
        <v>284</v>
      </c>
      <c r="D429" t="s">
        <v>17</v>
      </c>
      <c r="E429" t="str" cm="1">
        <f t="array" ref="E429">_xlfn.IFS(D429="Eventos particulares","Piloto Junior 1",D429="Federaciones y asociaciones deportivas","Piloto Junior 2",D429="Inspecciones agrícolas","Piloto Senior 1",D429="Inspecciones técnicas","Piloto Senior 2")</f>
        <v>Piloto Senior 1</v>
      </c>
      <c r="F429">
        <v>11.42</v>
      </c>
      <c r="G429" s="1" t="str" cm="1">
        <f t="array" ref="G429">_xlfn.IFS(D429="Eventos particulares","225",D429="Federaciones y asociaciones deportivas","250",D429="Inspecciones agrícolas","275",D429="Inspecciones técnicas","300")</f>
        <v>275</v>
      </c>
      <c r="H429" s="1">
        <f>VALUE(Tabla1[[#This Row],[Columna1]])</f>
        <v>275</v>
      </c>
      <c r="I429" s="1">
        <f t="shared" si="6"/>
        <v>3140.5</v>
      </c>
    </row>
    <row r="430" spans="1:9" x14ac:dyDescent="0.2">
      <c r="A430" s="12" t="s">
        <v>37</v>
      </c>
      <c r="B430" s="12">
        <f>DATEVALUE(Tabla1[[#This Row],[Columna2]])</f>
        <v>45599</v>
      </c>
      <c r="C430" t="s">
        <v>286</v>
      </c>
      <c r="D430" t="s">
        <v>4</v>
      </c>
      <c r="E430" t="str" cm="1">
        <f t="array" ref="E430">_xlfn.IFS(D430="Eventos particulares","Piloto Junior 1",D430="Federaciones y asociaciones deportivas","Piloto Junior 2",D430="Inspecciones agrícolas","Piloto Senior 1",D430="Inspecciones técnicas","Piloto Senior 2")</f>
        <v>Piloto Senior 2</v>
      </c>
      <c r="F430">
        <v>11.24</v>
      </c>
      <c r="G430" s="1" t="str" cm="1">
        <f t="array" ref="G430">_xlfn.IFS(D430="Eventos particulares","225",D430="Federaciones y asociaciones deportivas","250",D430="Inspecciones agrícolas","275",D430="Inspecciones técnicas","300")</f>
        <v>300</v>
      </c>
      <c r="H430" s="1">
        <f>VALUE(Tabla1[[#This Row],[Columna1]])</f>
        <v>300</v>
      </c>
      <c r="I430" s="1">
        <f t="shared" si="6"/>
        <v>3372</v>
      </c>
    </row>
    <row r="431" spans="1:9" x14ac:dyDescent="0.2">
      <c r="A431" s="12" t="s">
        <v>163</v>
      </c>
      <c r="B431" s="12">
        <f>DATEVALUE(Tabla1[[#This Row],[Columna2]])</f>
        <v>45601</v>
      </c>
      <c r="C431" t="s">
        <v>284</v>
      </c>
      <c r="D431" t="s">
        <v>6</v>
      </c>
      <c r="E431" t="str" cm="1">
        <f t="array" ref="E431">_xlfn.IFS(D431="Eventos particulares","Piloto Junior 1",D431="Federaciones y asociaciones deportivas","Piloto Junior 2",D431="Inspecciones agrícolas","Piloto Senior 1",D431="Inspecciones técnicas","Piloto Senior 2")</f>
        <v>Piloto Junior 2</v>
      </c>
      <c r="F431">
        <v>11.28</v>
      </c>
      <c r="G431" s="1" t="str" cm="1">
        <f t="array" ref="G431">_xlfn.IFS(D431="Eventos particulares","225",D431="Federaciones y asociaciones deportivas","250",D431="Inspecciones agrícolas","275",D431="Inspecciones técnicas","300")</f>
        <v>250</v>
      </c>
      <c r="H431" s="1">
        <f>VALUE(Tabla1[[#This Row],[Columna1]])</f>
        <v>250</v>
      </c>
      <c r="I431" s="1">
        <f t="shared" si="6"/>
        <v>2820</v>
      </c>
    </row>
    <row r="432" spans="1:9" x14ac:dyDescent="0.2">
      <c r="A432" s="12" t="s">
        <v>245</v>
      </c>
      <c r="B432" s="12">
        <f>DATEVALUE(Tabla1[[#This Row],[Columna2]])</f>
        <v>45602</v>
      </c>
      <c r="C432" t="s">
        <v>286</v>
      </c>
      <c r="D432" t="s">
        <v>4</v>
      </c>
      <c r="E432" t="str" cm="1">
        <f t="array" ref="E432">_xlfn.IFS(D432="Eventos particulares","Piloto Junior 1",D432="Federaciones y asociaciones deportivas","Piloto Junior 2",D432="Inspecciones agrícolas","Piloto Senior 1",D432="Inspecciones técnicas","Piloto Senior 2")</f>
        <v>Piloto Senior 2</v>
      </c>
      <c r="F432">
        <v>13.69</v>
      </c>
      <c r="G432" s="1" t="str" cm="1">
        <f t="array" ref="G432">_xlfn.IFS(D432="Eventos particulares","225",D432="Federaciones y asociaciones deportivas","250",D432="Inspecciones agrícolas","275",D432="Inspecciones técnicas","300")</f>
        <v>300</v>
      </c>
      <c r="H432" s="1">
        <f>VALUE(Tabla1[[#This Row],[Columna1]])</f>
        <v>300</v>
      </c>
      <c r="I432" s="1">
        <f t="shared" si="6"/>
        <v>4107</v>
      </c>
    </row>
    <row r="433" spans="1:9" x14ac:dyDescent="0.2">
      <c r="A433" s="12" t="s">
        <v>183</v>
      </c>
      <c r="B433" s="12">
        <f>DATEVALUE(Tabla1[[#This Row],[Columna2]])</f>
        <v>45603</v>
      </c>
      <c r="C433" t="s">
        <v>285</v>
      </c>
      <c r="D433" t="s">
        <v>4</v>
      </c>
      <c r="E433" t="str" cm="1">
        <f t="array" ref="E433">_xlfn.IFS(D433="Eventos particulares","Piloto Junior 1",D433="Federaciones y asociaciones deportivas","Piloto Junior 2",D433="Inspecciones agrícolas","Piloto Senior 1",D433="Inspecciones técnicas","Piloto Senior 2")</f>
        <v>Piloto Senior 2</v>
      </c>
      <c r="F433">
        <v>4.54</v>
      </c>
      <c r="G433" s="1" t="str" cm="1">
        <f t="array" ref="G433">_xlfn.IFS(D433="Eventos particulares","225",D433="Federaciones y asociaciones deportivas","250",D433="Inspecciones agrícolas","275",D433="Inspecciones técnicas","300")</f>
        <v>300</v>
      </c>
      <c r="H433" s="1">
        <f>VALUE(Tabla1[[#This Row],[Columna1]])</f>
        <v>300</v>
      </c>
      <c r="I433" s="1">
        <f t="shared" si="6"/>
        <v>1362</v>
      </c>
    </row>
    <row r="434" spans="1:9" x14ac:dyDescent="0.2">
      <c r="A434" s="12" t="s">
        <v>183</v>
      </c>
      <c r="B434" s="12">
        <f>DATEVALUE(Tabla1[[#This Row],[Columna2]])</f>
        <v>45603</v>
      </c>
      <c r="C434" t="s">
        <v>286</v>
      </c>
      <c r="D434" t="s">
        <v>12</v>
      </c>
      <c r="E434" t="str" cm="1">
        <f t="array" ref="E434">_xlfn.IFS(D434="Eventos particulares","Piloto Junior 1",D434="Federaciones y asociaciones deportivas","Piloto Junior 2",D434="Inspecciones agrícolas","Piloto Senior 1",D434="Inspecciones técnicas","Piloto Senior 2")</f>
        <v>Piloto Junior 1</v>
      </c>
      <c r="F434">
        <v>6.83</v>
      </c>
      <c r="G434" s="1" t="str" cm="1">
        <f t="array" ref="G434">_xlfn.IFS(D434="Eventos particulares","225",D434="Federaciones y asociaciones deportivas","250",D434="Inspecciones agrícolas","275",D434="Inspecciones técnicas","300")</f>
        <v>225</v>
      </c>
      <c r="H434" s="1">
        <f>VALUE(Tabla1[[#This Row],[Columna1]])</f>
        <v>225</v>
      </c>
      <c r="I434" s="1">
        <f t="shared" si="6"/>
        <v>1536.75</v>
      </c>
    </row>
    <row r="435" spans="1:9" x14ac:dyDescent="0.2">
      <c r="A435" s="12" t="s">
        <v>221</v>
      </c>
      <c r="B435" s="12">
        <f>DATEVALUE(Tabla1[[#This Row],[Columna2]])</f>
        <v>45604</v>
      </c>
      <c r="C435" t="s">
        <v>285</v>
      </c>
      <c r="D435" t="s">
        <v>4</v>
      </c>
      <c r="E435" t="str" cm="1">
        <f t="array" ref="E435">_xlfn.IFS(D435="Eventos particulares","Piloto Junior 1",D435="Federaciones y asociaciones deportivas","Piloto Junior 2",D435="Inspecciones agrícolas","Piloto Senior 1",D435="Inspecciones técnicas","Piloto Senior 2")</f>
        <v>Piloto Senior 2</v>
      </c>
      <c r="F435">
        <v>14.67</v>
      </c>
      <c r="G435" s="1" t="str" cm="1">
        <f t="array" ref="G435">_xlfn.IFS(D435="Eventos particulares","225",D435="Federaciones y asociaciones deportivas","250",D435="Inspecciones agrícolas","275",D435="Inspecciones técnicas","300")</f>
        <v>300</v>
      </c>
      <c r="H435" s="1">
        <f>VALUE(Tabla1[[#This Row],[Columna1]])</f>
        <v>300</v>
      </c>
      <c r="I435" s="1">
        <f t="shared" si="6"/>
        <v>4401</v>
      </c>
    </row>
    <row r="436" spans="1:9" x14ac:dyDescent="0.2">
      <c r="A436" s="12" t="s">
        <v>221</v>
      </c>
      <c r="B436" s="12">
        <f>DATEVALUE(Tabla1[[#This Row],[Columna2]])</f>
        <v>45604</v>
      </c>
      <c r="C436" t="s">
        <v>287</v>
      </c>
      <c r="D436" t="s">
        <v>12</v>
      </c>
      <c r="E436" t="str" cm="1">
        <f t="array" ref="E436">_xlfn.IFS(D436="Eventos particulares","Piloto Junior 1",D436="Federaciones y asociaciones deportivas","Piloto Junior 2",D436="Inspecciones agrícolas","Piloto Senior 1",D436="Inspecciones técnicas","Piloto Senior 2")</f>
        <v>Piloto Junior 1</v>
      </c>
      <c r="F436">
        <v>6.37</v>
      </c>
      <c r="G436" s="1" t="str" cm="1">
        <f t="array" ref="G436">_xlfn.IFS(D436="Eventos particulares","225",D436="Federaciones y asociaciones deportivas","250",D436="Inspecciones agrícolas","275",D436="Inspecciones técnicas","300")</f>
        <v>225</v>
      </c>
      <c r="H436" s="1">
        <f>VALUE(Tabla1[[#This Row],[Columna1]])</f>
        <v>225</v>
      </c>
      <c r="I436" s="1">
        <f t="shared" si="6"/>
        <v>1433.25</v>
      </c>
    </row>
    <row r="437" spans="1:9" x14ac:dyDescent="0.2">
      <c r="A437" s="12" t="s">
        <v>159</v>
      </c>
      <c r="B437" s="12">
        <f>DATEVALUE(Tabla1[[#This Row],[Columna2]])</f>
        <v>45605</v>
      </c>
      <c r="C437" t="s">
        <v>284</v>
      </c>
      <c r="D437" t="s">
        <v>4</v>
      </c>
      <c r="E437" t="str" cm="1">
        <f t="array" ref="E437">_xlfn.IFS(D437="Eventos particulares","Piloto Junior 1",D437="Federaciones y asociaciones deportivas","Piloto Junior 2",D437="Inspecciones agrícolas","Piloto Senior 1",D437="Inspecciones técnicas","Piloto Senior 2")</f>
        <v>Piloto Senior 2</v>
      </c>
      <c r="F437">
        <v>12.3</v>
      </c>
      <c r="G437" s="1" t="str" cm="1">
        <f t="array" ref="G437">_xlfn.IFS(D437="Eventos particulares","225",D437="Federaciones y asociaciones deportivas","250",D437="Inspecciones agrícolas","275",D437="Inspecciones técnicas","300")</f>
        <v>300</v>
      </c>
      <c r="H437" s="1">
        <f>VALUE(Tabla1[[#This Row],[Columna1]])</f>
        <v>300</v>
      </c>
      <c r="I437" s="1">
        <f t="shared" si="6"/>
        <v>3690</v>
      </c>
    </row>
    <row r="438" spans="1:9" x14ac:dyDescent="0.2">
      <c r="A438" s="12" t="s">
        <v>159</v>
      </c>
      <c r="B438" s="12">
        <f>DATEVALUE(Tabla1[[#This Row],[Columna2]])</f>
        <v>45605</v>
      </c>
      <c r="C438" t="s">
        <v>287</v>
      </c>
      <c r="D438" t="s">
        <v>4</v>
      </c>
      <c r="E438" t="str" cm="1">
        <f t="array" ref="E438">_xlfn.IFS(D438="Eventos particulares","Piloto Junior 1",D438="Federaciones y asociaciones deportivas","Piloto Junior 2",D438="Inspecciones agrícolas","Piloto Senior 1",D438="Inspecciones técnicas","Piloto Senior 2")</f>
        <v>Piloto Senior 2</v>
      </c>
      <c r="F438">
        <v>5.6</v>
      </c>
      <c r="G438" s="1" t="str" cm="1">
        <f t="array" ref="G438">_xlfn.IFS(D438="Eventos particulares","225",D438="Federaciones y asociaciones deportivas","250",D438="Inspecciones agrícolas","275",D438="Inspecciones técnicas","300")</f>
        <v>300</v>
      </c>
      <c r="H438" s="1">
        <f>VALUE(Tabla1[[#This Row],[Columna1]])</f>
        <v>300</v>
      </c>
      <c r="I438" s="1">
        <f t="shared" si="6"/>
        <v>1680</v>
      </c>
    </row>
    <row r="439" spans="1:9" x14ac:dyDescent="0.2">
      <c r="A439" s="12" t="s">
        <v>110</v>
      </c>
      <c r="B439" s="12">
        <f>DATEVALUE(Tabla1[[#This Row],[Columna2]])</f>
        <v>45607</v>
      </c>
      <c r="C439" t="s">
        <v>284</v>
      </c>
      <c r="D439" t="s">
        <v>12</v>
      </c>
      <c r="E439" t="str" cm="1">
        <f t="array" ref="E439">_xlfn.IFS(D439="Eventos particulares","Piloto Junior 1",D439="Federaciones y asociaciones deportivas","Piloto Junior 2",D439="Inspecciones agrícolas","Piloto Senior 1",D439="Inspecciones técnicas","Piloto Senior 2")</f>
        <v>Piloto Junior 1</v>
      </c>
      <c r="F439">
        <v>12.34</v>
      </c>
      <c r="G439" s="1" t="str" cm="1">
        <f t="array" ref="G439">_xlfn.IFS(D439="Eventos particulares","225",D439="Federaciones y asociaciones deportivas","250",D439="Inspecciones agrícolas","275",D439="Inspecciones técnicas","300")</f>
        <v>225</v>
      </c>
      <c r="H439" s="1">
        <f>VALUE(Tabla1[[#This Row],[Columna1]])</f>
        <v>225</v>
      </c>
      <c r="I439" s="1">
        <f t="shared" si="6"/>
        <v>2776.5</v>
      </c>
    </row>
    <row r="440" spans="1:9" x14ac:dyDescent="0.2">
      <c r="A440" s="12" t="s">
        <v>110</v>
      </c>
      <c r="B440" s="12">
        <f>DATEVALUE(Tabla1[[#This Row],[Columna2]])</f>
        <v>45607</v>
      </c>
      <c r="C440" t="s">
        <v>284</v>
      </c>
      <c r="D440" t="s">
        <v>4</v>
      </c>
      <c r="E440" t="str" cm="1">
        <f t="array" ref="E440">_xlfn.IFS(D440="Eventos particulares","Piloto Junior 1",D440="Federaciones y asociaciones deportivas","Piloto Junior 2",D440="Inspecciones agrícolas","Piloto Senior 1",D440="Inspecciones técnicas","Piloto Senior 2")</f>
        <v>Piloto Senior 2</v>
      </c>
      <c r="F440">
        <v>15.95</v>
      </c>
      <c r="G440" s="1" t="str" cm="1">
        <f t="array" ref="G440">_xlfn.IFS(D440="Eventos particulares","225",D440="Federaciones y asociaciones deportivas","250",D440="Inspecciones agrícolas","275",D440="Inspecciones técnicas","300")</f>
        <v>300</v>
      </c>
      <c r="H440" s="1">
        <f>VALUE(Tabla1[[#This Row],[Columna1]])</f>
        <v>300</v>
      </c>
      <c r="I440" s="1">
        <f t="shared" si="6"/>
        <v>4785</v>
      </c>
    </row>
    <row r="441" spans="1:9" x14ac:dyDescent="0.2">
      <c r="A441" s="12" t="s">
        <v>110</v>
      </c>
      <c r="B441" s="12">
        <f>DATEVALUE(Tabla1[[#This Row],[Columna2]])</f>
        <v>45607</v>
      </c>
      <c r="C441" t="s">
        <v>286</v>
      </c>
      <c r="D441" t="s">
        <v>4</v>
      </c>
      <c r="E441" t="str" cm="1">
        <f t="array" ref="E441">_xlfn.IFS(D441="Eventos particulares","Piloto Junior 1",D441="Federaciones y asociaciones deportivas","Piloto Junior 2",D441="Inspecciones agrícolas","Piloto Senior 1",D441="Inspecciones técnicas","Piloto Senior 2")</f>
        <v>Piloto Senior 2</v>
      </c>
      <c r="F441">
        <v>10.54</v>
      </c>
      <c r="G441" s="1" t="str" cm="1">
        <f t="array" ref="G441">_xlfn.IFS(D441="Eventos particulares","225",D441="Federaciones y asociaciones deportivas","250",D441="Inspecciones agrícolas","275",D441="Inspecciones técnicas","300")</f>
        <v>300</v>
      </c>
      <c r="H441" s="1">
        <f>VALUE(Tabla1[[#This Row],[Columna1]])</f>
        <v>300</v>
      </c>
      <c r="I441" s="1">
        <f t="shared" si="6"/>
        <v>3161.9999999999995</v>
      </c>
    </row>
    <row r="442" spans="1:9" x14ac:dyDescent="0.2">
      <c r="A442" s="12" t="s">
        <v>110</v>
      </c>
      <c r="B442" s="12">
        <f>DATEVALUE(Tabla1[[#This Row],[Columna2]])</f>
        <v>45607</v>
      </c>
      <c r="C442" t="s">
        <v>287</v>
      </c>
      <c r="D442" t="s">
        <v>17</v>
      </c>
      <c r="E442" t="str" cm="1">
        <f t="array" ref="E442">_xlfn.IFS(D442="Eventos particulares","Piloto Junior 1",D442="Federaciones y asociaciones deportivas","Piloto Junior 2",D442="Inspecciones agrícolas","Piloto Senior 1",D442="Inspecciones técnicas","Piloto Senior 2")</f>
        <v>Piloto Senior 1</v>
      </c>
      <c r="F442">
        <v>14.84</v>
      </c>
      <c r="G442" s="1" t="str" cm="1">
        <f t="array" ref="G442">_xlfn.IFS(D442="Eventos particulares","225",D442="Federaciones y asociaciones deportivas","250",D442="Inspecciones agrícolas","275",D442="Inspecciones técnicas","300")</f>
        <v>275</v>
      </c>
      <c r="H442" s="1">
        <f>VALUE(Tabla1[[#This Row],[Columna1]])</f>
        <v>275</v>
      </c>
      <c r="I442" s="1">
        <f t="shared" si="6"/>
        <v>4081</v>
      </c>
    </row>
    <row r="443" spans="1:9" x14ac:dyDescent="0.2">
      <c r="A443" s="12" t="s">
        <v>10</v>
      </c>
      <c r="B443" s="12">
        <f>DATEVALUE(Tabla1[[#This Row],[Columna2]])</f>
        <v>45609</v>
      </c>
      <c r="C443" t="s">
        <v>284</v>
      </c>
      <c r="D443" t="s">
        <v>4</v>
      </c>
      <c r="E443" t="str" cm="1">
        <f t="array" ref="E443">_xlfn.IFS(D443="Eventos particulares","Piloto Junior 1",D443="Federaciones y asociaciones deportivas","Piloto Junior 2",D443="Inspecciones agrícolas","Piloto Senior 1",D443="Inspecciones técnicas","Piloto Senior 2")</f>
        <v>Piloto Senior 2</v>
      </c>
      <c r="F443">
        <v>11.54</v>
      </c>
      <c r="G443" s="1" t="str" cm="1">
        <f t="array" ref="G443">_xlfn.IFS(D443="Eventos particulares","225",D443="Federaciones y asociaciones deportivas","250",D443="Inspecciones agrícolas","275",D443="Inspecciones técnicas","300")</f>
        <v>300</v>
      </c>
      <c r="H443" s="1">
        <f>VALUE(Tabla1[[#This Row],[Columna1]])</f>
        <v>300</v>
      </c>
      <c r="I443" s="1">
        <f t="shared" si="6"/>
        <v>3461.9999999999995</v>
      </c>
    </row>
    <row r="444" spans="1:9" x14ac:dyDescent="0.2">
      <c r="A444" s="12" t="s">
        <v>46</v>
      </c>
      <c r="B444" s="12">
        <f>DATEVALUE(Tabla1[[#This Row],[Columna2]])</f>
        <v>45610</v>
      </c>
      <c r="C444" t="s">
        <v>284</v>
      </c>
      <c r="D444" t="s">
        <v>4</v>
      </c>
      <c r="E444" t="str" cm="1">
        <f t="array" ref="E444">_xlfn.IFS(D444="Eventos particulares","Piloto Junior 1",D444="Federaciones y asociaciones deportivas","Piloto Junior 2",D444="Inspecciones agrícolas","Piloto Senior 1",D444="Inspecciones técnicas","Piloto Senior 2")</f>
        <v>Piloto Senior 2</v>
      </c>
      <c r="F444">
        <v>10.130000000000001</v>
      </c>
      <c r="G444" s="1" t="str" cm="1">
        <f t="array" ref="G444">_xlfn.IFS(D444="Eventos particulares","225",D444="Federaciones y asociaciones deportivas","250",D444="Inspecciones agrícolas","275",D444="Inspecciones técnicas","300")</f>
        <v>300</v>
      </c>
      <c r="H444" s="1">
        <f>VALUE(Tabla1[[#This Row],[Columna1]])</f>
        <v>300</v>
      </c>
      <c r="I444" s="1">
        <f t="shared" si="6"/>
        <v>3039.0000000000005</v>
      </c>
    </row>
    <row r="445" spans="1:9" x14ac:dyDescent="0.2">
      <c r="A445" s="12" t="s">
        <v>46</v>
      </c>
      <c r="B445" s="12">
        <f>DATEVALUE(Tabla1[[#This Row],[Columna2]])</f>
        <v>45610</v>
      </c>
      <c r="C445" t="s">
        <v>286</v>
      </c>
      <c r="D445" t="s">
        <v>4</v>
      </c>
      <c r="E445" t="str" cm="1">
        <f t="array" ref="E445">_xlfn.IFS(D445="Eventos particulares","Piloto Junior 1",D445="Federaciones y asociaciones deportivas","Piloto Junior 2",D445="Inspecciones agrícolas","Piloto Senior 1",D445="Inspecciones técnicas","Piloto Senior 2")</f>
        <v>Piloto Senior 2</v>
      </c>
      <c r="F445">
        <v>11.03</v>
      </c>
      <c r="G445" s="1" t="str" cm="1">
        <f t="array" ref="G445">_xlfn.IFS(D445="Eventos particulares","225",D445="Federaciones y asociaciones deportivas","250",D445="Inspecciones agrícolas","275",D445="Inspecciones técnicas","300")</f>
        <v>300</v>
      </c>
      <c r="H445" s="1">
        <f>VALUE(Tabla1[[#This Row],[Columna1]])</f>
        <v>300</v>
      </c>
      <c r="I445" s="1">
        <f t="shared" si="6"/>
        <v>3309</v>
      </c>
    </row>
    <row r="446" spans="1:9" x14ac:dyDescent="0.2">
      <c r="A446" s="12" t="s">
        <v>46</v>
      </c>
      <c r="B446" s="12">
        <f>DATEVALUE(Tabla1[[#This Row],[Columna2]])</f>
        <v>45610</v>
      </c>
      <c r="C446" t="s">
        <v>286</v>
      </c>
      <c r="D446" t="s">
        <v>4</v>
      </c>
      <c r="E446" t="str" cm="1">
        <f t="array" ref="E446">_xlfn.IFS(D446="Eventos particulares","Piloto Junior 1",D446="Federaciones y asociaciones deportivas","Piloto Junior 2",D446="Inspecciones agrícolas","Piloto Senior 1",D446="Inspecciones técnicas","Piloto Senior 2")</f>
        <v>Piloto Senior 2</v>
      </c>
      <c r="F446">
        <v>15.23</v>
      </c>
      <c r="G446" s="1" t="str" cm="1">
        <f t="array" ref="G446">_xlfn.IFS(D446="Eventos particulares","225",D446="Federaciones y asociaciones deportivas","250",D446="Inspecciones agrícolas","275",D446="Inspecciones técnicas","300")</f>
        <v>300</v>
      </c>
      <c r="H446" s="1">
        <f>VALUE(Tabla1[[#This Row],[Columna1]])</f>
        <v>300</v>
      </c>
      <c r="I446" s="1">
        <f t="shared" si="6"/>
        <v>4569</v>
      </c>
    </row>
    <row r="447" spans="1:9" x14ac:dyDescent="0.2">
      <c r="A447" s="12" t="s">
        <v>92</v>
      </c>
      <c r="B447" s="12">
        <f>DATEVALUE(Tabla1[[#This Row],[Columna2]])</f>
        <v>45612</v>
      </c>
      <c r="C447" t="s">
        <v>284</v>
      </c>
      <c r="D447" t="s">
        <v>4</v>
      </c>
      <c r="E447" t="str" cm="1">
        <f t="array" ref="E447">_xlfn.IFS(D447="Eventos particulares","Piloto Junior 1",D447="Federaciones y asociaciones deportivas","Piloto Junior 2",D447="Inspecciones agrícolas","Piloto Senior 1",D447="Inspecciones técnicas","Piloto Senior 2")</f>
        <v>Piloto Senior 2</v>
      </c>
      <c r="F447">
        <v>4.74</v>
      </c>
      <c r="G447" s="1" t="str" cm="1">
        <f t="array" ref="G447">_xlfn.IFS(D447="Eventos particulares","225",D447="Federaciones y asociaciones deportivas","250",D447="Inspecciones agrícolas","275",D447="Inspecciones técnicas","300")</f>
        <v>300</v>
      </c>
      <c r="H447" s="1">
        <f>VALUE(Tabla1[[#This Row],[Columna1]])</f>
        <v>300</v>
      </c>
      <c r="I447" s="1">
        <f t="shared" si="6"/>
        <v>1422</v>
      </c>
    </row>
    <row r="448" spans="1:9" x14ac:dyDescent="0.2">
      <c r="A448" s="12" t="s">
        <v>92</v>
      </c>
      <c r="B448" s="12">
        <f>DATEVALUE(Tabla1[[#This Row],[Columna2]])</f>
        <v>45612</v>
      </c>
      <c r="C448" t="s">
        <v>285</v>
      </c>
      <c r="D448" t="s">
        <v>4</v>
      </c>
      <c r="E448" t="str" cm="1">
        <f t="array" ref="E448">_xlfn.IFS(D448="Eventos particulares","Piloto Junior 1",D448="Federaciones y asociaciones deportivas","Piloto Junior 2",D448="Inspecciones agrícolas","Piloto Senior 1",D448="Inspecciones técnicas","Piloto Senior 2")</f>
        <v>Piloto Senior 2</v>
      </c>
      <c r="F448">
        <v>13.95</v>
      </c>
      <c r="G448" s="1" t="str" cm="1">
        <f t="array" ref="G448">_xlfn.IFS(D448="Eventos particulares","225",D448="Federaciones y asociaciones deportivas","250",D448="Inspecciones agrícolas","275",D448="Inspecciones técnicas","300")</f>
        <v>300</v>
      </c>
      <c r="H448" s="1">
        <f>VALUE(Tabla1[[#This Row],[Columna1]])</f>
        <v>300</v>
      </c>
      <c r="I448" s="1">
        <f t="shared" si="6"/>
        <v>4185</v>
      </c>
    </row>
    <row r="449" spans="1:9" x14ac:dyDescent="0.2">
      <c r="A449" s="12" t="s">
        <v>92</v>
      </c>
      <c r="B449" s="12">
        <f>DATEVALUE(Tabla1[[#This Row],[Columna2]])</f>
        <v>45612</v>
      </c>
      <c r="C449" t="s">
        <v>285</v>
      </c>
      <c r="D449" t="s">
        <v>4</v>
      </c>
      <c r="E449" t="str" cm="1">
        <f t="array" ref="E449">_xlfn.IFS(D449="Eventos particulares","Piloto Junior 1",D449="Federaciones y asociaciones deportivas","Piloto Junior 2",D449="Inspecciones agrícolas","Piloto Senior 1",D449="Inspecciones técnicas","Piloto Senior 2")</f>
        <v>Piloto Senior 2</v>
      </c>
      <c r="F449">
        <v>10.01</v>
      </c>
      <c r="G449" s="1" t="str" cm="1">
        <f t="array" ref="G449">_xlfn.IFS(D449="Eventos particulares","225",D449="Federaciones y asociaciones deportivas","250",D449="Inspecciones agrícolas","275",D449="Inspecciones técnicas","300")</f>
        <v>300</v>
      </c>
      <c r="H449" s="1">
        <f>VALUE(Tabla1[[#This Row],[Columna1]])</f>
        <v>300</v>
      </c>
      <c r="I449" s="1">
        <f t="shared" si="6"/>
        <v>3003</v>
      </c>
    </row>
    <row r="450" spans="1:9" x14ac:dyDescent="0.2">
      <c r="A450" s="12" t="s">
        <v>92</v>
      </c>
      <c r="B450" s="12">
        <f>DATEVALUE(Tabla1[[#This Row],[Columna2]])</f>
        <v>45612</v>
      </c>
      <c r="C450" t="s">
        <v>287</v>
      </c>
      <c r="D450" t="s">
        <v>4</v>
      </c>
      <c r="E450" t="str" cm="1">
        <f t="array" ref="E450">_xlfn.IFS(D450="Eventos particulares","Piloto Junior 1",D450="Federaciones y asociaciones deportivas","Piloto Junior 2",D450="Inspecciones agrícolas","Piloto Senior 1",D450="Inspecciones técnicas","Piloto Senior 2")</f>
        <v>Piloto Senior 2</v>
      </c>
      <c r="F450">
        <v>7.01</v>
      </c>
      <c r="G450" s="1" t="str" cm="1">
        <f t="array" ref="G450">_xlfn.IFS(D450="Eventos particulares","225",D450="Federaciones y asociaciones deportivas","250",D450="Inspecciones agrícolas","275",D450="Inspecciones técnicas","300")</f>
        <v>300</v>
      </c>
      <c r="H450" s="1">
        <f>VALUE(Tabla1[[#This Row],[Columna1]])</f>
        <v>300</v>
      </c>
      <c r="I450" s="1">
        <f t="shared" ref="I450:I508" si="7">F450*H450</f>
        <v>2103</v>
      </c>
    </row>
    <row r="451" spans="1:9" x14ac:dyDescent="0.2">
      <c r="A451" s="12" t="s">
        <v>206</v>
      </c>
      <c r="B451" s="12">
        <f>DATEVALUE(Tabla1[[#This Row],[Columna2]])</f>
        <v>45616</v>
      </c>
      <c r="C451" t="s">
        <v>285</v>
      </c>
      <c r="D451" t="s">
        <v>6</v>
      </c>
      <c r="E451" t="str" cm="1">
        <f t="array" ref="E451">_xlfn.IFS(D451="Eventos particulares","Piloto Junior 1",D451="Federaciones y asociaciones deportivas","Piloto Junior 2",D451="Inspecciones agrícolas","Piloto Senior 1",D451="Inspecciones técnicas","Piloto Senior 2")</f>
        <v>Piloto Junior 2</v>
      </c>
      <c r="F451">
        <v>4.49</v>
      </c>
      <c r="G451" s="1" t="str" cm="1">
        <f t="array" ref="G451">_xlfn.IFS(D451="Eventos particulares","225",D451="Federaciones y asociaciones deportivas","250",D451="Inspecciones agrícolas","275",D451="Inspecciones técnicas","300")</f>
        <v>250</v>
      </c>
      <c r="H451" s="1">
        <f>VALUE(Tabla1[[#This Row],[Columna1]])</f>
        <v>250</v>
      </c>
      <c r="I451" s="1">
        <f t="shared" si="7"/>
        <v>1122.5</v>
      </c>
    </row>
    <row r="452" spans="1:9" x14ac:dyDescent="0.2">
      <c r="A452" s="12" t="s">
        <v>199</v>
      </c>
      <c r="B452" s="12">
        <f>DATEVALUE(Tabla1[[#This Row],[Columna2]])</f>
        <v>45618</v>
      </c>
      <c r="C452" t="s">
        <v>285</v>
      </c>
      <c r="D452" t="s">
        <v>4</v>
      </c>
      <c r="E452" t="str" cm="1">
        <f t="array" ref="E452">_xlfn.IFS(D452="Eventos particulares","Piloto Junior 1",D452="Federaciones y asociaciones deportivas","Piloto Junior 2",D452="Inspecciones agrícolas","Piloto Senior 1",D452="Inspecciones técnicas","Piloto Senior 2")</f>
        <v>Piloto Senior 2</v>
      </c>
      <c r="F452">
        <v>14.36</v>
      </c>
      <c r="G452" s="1" t="str" cm="1">
        <f t="array" ref="G452">_xlfn.IFS(D452="Eventos particulares","225",D452="Federaciones y asociaciones deportivas","250",D452="Inspecciones agrícolas","275",D452="Inspecciones técnicas","300")</f>
        <v>300</v>
      </c>
      <c r="H452" s="1">
        <f>VALUE(Tabla1[[#This Row],[Columna1]])</f>
        <v>300</v>
      </c>
      <c r="I452" s="1">
        <f t="shared" si="7"/>
        <v>4308</v>
      </c>
    </row>
    <row r="453" spans="1:9" x14ac:dyDescent="0.2">
      <c r="A453" s="12" t="s">
        <v>115</v>
      </c>
      <c r="B453" s="12">
        <f>DATEVALUE(Tabla1[[#This Row],[Columna2]])</f>
        <v>45619</v>
      </c>
      <c r="C453" t="s">
        <v>284</v>
      </c>
      <c r="D453" t="s">
        <v>4</v>
      </c>
      <c r="E453" t="str" cm="1">
        <f t="array" ref="E453">_xlfn.IFS(D453="Eventos particulares","Piloto Junior 1",D453="Federaciones y asociaciones deportivas","Piloto Junior 2",D453="Inspecciones agrícolas","Piloto Senior 1",D453="Inspecciones técnicas","Piloto Senior 2")</f>
        <v>Piloto Senior 2</v>
      </c>
      <c r="F453">
        <v>15.54</v>
      </c>
      <c r="G453" s="1" t="str" cm="1">
        <f t="array" ref="G453">_xlfn.IFS(D453="Eventos particulares","225",D453="Federaciones y asociaciones deportivas","250",D453="Inspecciones agrícolas","275",D453="Inspecciones técnicas","300")</f>
        <v>300</v>
      </c>
      <c r="H453" s="1">
        <f>VALUE(Tabla1[[#This Row],[Columna1]])</f>
        <v>300</v>
      </c>
      <c r="I453" s="1">
        <f t="shared" si="7"/>
        <v>4662</v>
      </c>
    </row>
    <row r="454" spans="1:9" x14ac:dyDescent="0.2">
      <c r="A454" s="12" t="s">
        <v>71</v>
      </c>
      <c r="B454" s="12">
        <f>DATEVALUE(Tabla1[[#This Row],[Columna2]])</f>
        <v>45620</v>
      </c>
      <c r="C454" t="s">
        <v>284</v>
      </c>
      <c r="D454" t="s">
        <v>4</v>
      </c>
      <c r="E454" t="str" cm="1">
        <f t="array" ref="E454">_xlfn.IFS(D454="Eventos particulares","Piloto Junior 1",D454="Federaciones y asociaciones deportivas","Piloto Junior 2",D454="Inspecciones agrícolas","Piloto Senior 1",D454="Inspecciones técnicas","Piloto Senior 2")</f>
        <v>Piloto Senior 2</v>
      </c>
      <c r="F454">
        <v>5.14</v>
      </c>
      <c r="G454" s="1" t="str" cm="1">
        <f t="array" ref="G454">_xlfn.IFS(D454="Eventos particulares","225",D454="Federaciones y asociaciones deportivas","250",D454="Inspecciones agrícolas","275",D454="Inspecciones técnicas","300")</f>
        <v>300</v>
      </c>
      <c r="H454" s="1">
        <f>VALUE(Tabla1[[#This Row],[Columna1]])</f>
        <v>300</v>
      </c>
      <c r="I454" s="1">
        <f t="shared" si="7"/>
        <v>1542</v>
      </c>
    </row>
    <row r="455" spans="1:9" x14ac:dyDescent="0.2">
      <c r="A455" s="12" t="s">
        <v>71</v>
      </c>
      <c r="B455" s="12">
        <f>DATEVALUE(Tabla1[[#This Row],[Columna2]])</f>
        <v>45620</v>
      </c>
      <c r="C455" t="s">
        <v>284</v>
      </c>
      <c r="D455" t="s">
        <v>4</v>
      </c>
      <c r="E455" t="str" cm="1">
        <f t="array" ref="E455">_xlfn.IFS(D455="Eventos particulares","Piloto Junior 1",D455="Federaciones y asociaciones deportivas","Piloto Junior 2",D455="Inspecciones agrícolas","Piloto Senior 1",D455="Inspecciones técnicas","Piloto Senior 2")</f>
        <v>Piloto Senior 2</v>
      </c>
      <c r="F455">
        <v>7.82</v>
      </c>
      <c r="G455" s="1" t="str" cm="1">
        <f t="array" ref="G455">_xlfn.IFS(D455="Eventos particulares","225",D455="Federaciones y asociaciones deportivas","250",D455="Inspecciones agrícolas","275",D455="Inspecciones técnicas","300")</f>
        <v>300</v>
      </c>
      <c r="H455" s="1">
        <f>VALUE(Tabla1[[#This Row],[Columna1]])</f>
        <v>300</v>
      </c>
      <c r="I455" s="1">
        <f t="shared" si="7"/>
        <v>2346</v>
      </c>
    </row>
    <row r="456" spans="1:9" x14ac:dyDescent="0.2">
      <c r="A456" s="12" t="s">
        <v>71</v>
      </c>
      <c r="B456" s="12">
        <f>DATEVALUE(Tabla1[[#This Row],[Columna2]])</f>
        <v>45620</v>
      </c>
      <c r="C456" t="s">
        <v>284</v>
      </c>
      <c r="D456" t="s">
        <v>12</v>
      </c>
      <c r="E456" t="str" cm="1">
        <f t="array" ref="E456">_xlfn.IFS(D456="Eventos particulares","Piloto Junior 1",D456="Federaciones y asociaciones deportivas","Piloto Junior 2",D456="Inspecciones agrícolas","Piloto Senior 1",D456="Inspecciones técnicas","Piloto Senior 2")</f>
        <v>Piloto Junior 1</v>
      </c>
      <c r="F456">
        <v>4.55</v>
      </c>
      <c r="G456" s="1" t="str" cm="1">
        <f t="array" ref="G456">_xlfn.IFS(D456="Eventos particulares","225",D456="Federaciones y asociaciones deportivas","250",D456="Inspecciones agrícolas","275",D456="Inspecciones técnicas","300")</f>
        <v>225</v>
      </c>
      <c r="H456" s="1">
        <f>VALUE(Tabla1[[#This Row],[Columna1]])</f>
        <v>225</v>
      </c>
      <c r="I456" s="1">
        <f t="shared" si="7"/>
        <v>1023.75</v>
      </c>
    </row>
    <row r="457" spans="1:9" x14ac:dyDescent="0.2">
      <c r="A457" s="12" t="s">
        <v>71</v>
      </c>
      <c r="B457" s="12">
        <f>DATEVALUE(Tabla1[[#This Row],[Columna2]])</f>
        <v>45620</v>
      </c>
      <c r="C457" t="s">
        <v>287</v>
      </c>
      <c r="D457" t="s">
        <v>4</v>
      </c>
      <c r="E457" t="str" cm="1">
        <f t="array" ref="E457">_xlfn.IFS(D457="Eventos particulares","Piloto Junior 1",D457="Federaciones y asociaciones deportivas","Piloto Junior 2",D457="Inspecciones agrícolas","Piloto Senior 1",D457="Inspecciones técnicas","Piloto Senior 2")</f>
        <v>Piloto Senior 2</v>
      </c>
      <c r="F457">
        <v>5.4</v>
      </c>
      <c r="G457" s="1" t="str" cm="1">
        <f t="array" ref="G457">_xlfn.IFS(D457="Eventos particulares","225",D457="Federaciones y asociaciones deportivas","250",D457="Inspecciones agrícolas","275",D457="Inspecciones técnicas","300")</f>
        <v>300</v>
      </c>
      <c r="H457" s="1">
        <f>VALUE(Tabla1[[#This Row],[Columna1]])</f>
        <v>300</v>
      </c>
      <c r="I457" s="1">
        <f t="shared" si="7"/>
        <v>1620</v>
      </c>
    </row>
    <row r="458" spans="1:9" x14ac:dyDescent="0.2">
      <c r="A458" s="12" t="s">
        <v>202</v>
      </c>
      <c r="B458" s="12">
        <f>DATEVALUE(Tabla1[[#This Row],[Columna2]])</f>
        <v>45621</v>
      </c>
      <c r="C458" t="s">
        <v>285</v>
      </c>
      <c r="D458" t="s">
        <v>17</v>
      </c>
      <c r="E458" t="str" cm="1">
        <f t="array" ref="E458">_xlfn.IFS(D458="Eventos particulares","Piloto Junior 1",D458="Federaciones y asociaciones deportivas","Piloto Junior 2",D458="Inspecciones agrícolas","Piloto Senior 1",D458="Inspecciones técnicas","Piloto Senior 2")</f>
        <v>Piloto Senior 1</v>
      </c>
      <c r="F458">
        <v>8.5500000000000007</v>
      </c>
      <c r="G458" s="1" t="str" cm="1">
        <f t="array" ref="G458">_xlfn.IFS(D458="Eventos particulares","225",D458="Federaciones y asociaciones deportivas","250",D458="Inspecciones agrícolas","275",D458="Inspecciones técnicas","300")</f>
        <v>275</v>
      </c>
      <c r="H458" s="1">
        <f>VALUE(Tabla1[[#This Row],[Columna1]])</f>
        <v>275</v>
      </c>
      <c r="I458" s="1">
        <f t="shared" si="7"/>
        <v>2351.25</v>
      </c>
    </row>
    <row r="459" spans="1:9" x14ac:dyDescent="0.2">
      <c r="A459" s="12" t="s">
        <v>202</v>
      </c>
      <c r="B459" s="12">
        <f>DATEVALUE(Tabla1[[#This Row],[Columna2]])</f>
        <v>45621</v>
      </c>
      <c r="C459" t="s">
        <v>286</v>
      </c>
      <c r="D459" t="s">
        <v>4</v>
      </c>
      <c r="E459" t="str" cm="1">
        <f t="array" ref="E459">_xlfn.IFS(D459="Eventos particulares","Piloto Junior 1",D459="Federaciones y asociaciones deportivas","Piloto Junior 2",D459="Inspecciones agrícolas","Piloto Senior 1",D459="Inspecciones técnicas","Piloto Senior 2")</f>
        <v>Piloto Senior 2</v>
      </c>
      <c r="F459">
        <v>12.31</v>
      </c>
      <c r="G459" s="1" t="str" cm="1">
        <f t="array" ref="G459">_xlfn.IFS(D459="Eventos particulares","225",D459="Federaciones y asociaciones deportivas","250",D459="Inspecciones agrícolas","275",D459="Inspecciones técnicas","300")</f>
        <v>300</v>
      </c>
      <c r="H459" s="1">
        <f>VALUE(Tabla1[[#This Row],[Columna1]])</f>
        <v>300</v>
      </c>
      <c r="I459" s="1">
        <f t="shared" si="7"/>
        <v>3693</v>
      </c>
    </row>
    <row r="460" spans="1:9" x14ac:dyDescent="0.2">
      <c r="A460" s="12" t="s">
        <v>152</v>
      </c>
      <c r="B460" s="12">
        <f>DATEVALUE(Tabla1[[#This Row],[Columna2]])</f>
        <v>45623</v>
      </c>
      <c r="C460" t="s">
        <v>284</v>
      </c>
      <c r="D460" t="s">
        <v>17</v>
      </c>
      <c r="E460" t="str" cm="1">
        <f t="array" ref="E460">_xlfn.IFS(D460="Eventos particulares","Piloto Junior 1",D460="Federaciones y asociaciones deportivas","Piloto Junior 2",D460="Inspecciones agrícolas","Piloto Senior 1",D460="Inspecciones técnicas","Piloto Senior 2")</f>
        <v>Piloto Senior 1</v>
      </c>
      <c r="F460">
        <v>14.22</v>
      </c>
      <c r="G460" s="1" t="str" cm="1">
        <f t="array" ref="G460">_xlfn.IFS(D460="Eventos particulares","225",D460="Federaciones y asociaciones deportivas","250",D460="Inspecciones agrícolas","275",D460="Inspecciones técnicas","300")</f>
        <v>275</v>
      </c>
      <c r="H460" s="1">
        <f>VALUE(Tabla1[[#This Row],[Columna1]])</f>
        <v>275</v>
      </c>
      <c r="I460" s="1">
        <f t="shared" si="7"/>
        <v>3910.5</v>
      </c>
    </row>
    <row r="461" spans="1:9" x14ac:dyDescent="0.2">
      <c r="A461" s="12" t="s">
        <v>152</v>
      </c>
      <c r="B461" s="12">
        <f>DATEVALUE(Tabla1[[#This Row],[Columna2]])</f>
        <v>45623</v>
      </c>
      <c r="C461" t="s">
        <v>286</v>
      </c>
      <c r="D461" t="s">
        <v>4</v>
      </c>
      <c r="E461" t="str" cm="1">
        <f t="array" ref="E461">_xlfn.IFS(D461="Eventos particulares","Piloto Junior 1",D461="Federaciones y asociaciones deportivas","Piloto Junior 2",D461="Inspecciones agrícolas","Piloto Senior 1",D461="Inspecciones técnicas","Piloto Senior 2")</f>
        <v>Piloto Senior 2</v>
      </c>
      <c r="F461">
        <v>6.42</v>
      </c>
      <c r="G461" s="1" t="str" cm="1">
        <f t="array" ref="G461">_xlfn.IFS(D461="Eventos particulares","225",D461="Federaciones y asociaciones deportivas","250",D461="Inspecciones agrícolas","275",D461="Inspecciones técnicas","300")</f>
        <v>300</v>
      </c>
      <c r="H461" s="1">
        <f>VALUE(Tabla1[[#This Row],[Columna1]])</f>
        <v>300</v>
      </c>
      <c r="I461" s="1">
        <f t="shared" si="7"/>
        <v>1926</v>
      </c>
    </row>
    <row r="462" spans="1:9" x14ac:dyDescent="0.2">
      <c r="A462" s="12" t="s">
        <v>152</v>
      </c>
      <c r="B462" s="12">
        <f>DATEVALUE(Tabla1[[#This Row],[Columna2]])</f>
        <v>45623</v>
      </c>
      <c r="C462" t="s">
        <v>287</v>
      </c>
      <c r="D462" t="s">
        <v>4</v>
      </c>
      <c r="E462" t="str" cm="1">
        <f t="array" ref="E462">_xlfn.IFS(D462="Eventos particulares","Piloto Junior 1",D462="Federaciones y asociaciones deportivas","Piloto Junior 2",D462="Inspecciones agrícolas","Piloto Senior 1",D462="Inspecciones técnicas","Piloto Senior 2")</f>
        <v>Piloto Senior 2</v>
      </c>
      <c r="F462">
        <v>5.32</v>
      </c>
      <c r="G462" s="1" t="str" cm="1">
        <f t="array" ref="G462">_xlfn.IFS(D462="Eventos particulares","225",D462="Federaciones y asociaciones deportivas","250",D462="Inspecciones agrícolas","275",D462="Inspecciones técnicas","300")</f>
        <v>300</v>
      </c>
      <c r="H462" s="1">
        <f>VALUE(Tabla1[[#This Row],[Columna1]])</f>
        <v>300</v>
      </c>
      <c r="I462" s="1">
        <f t="shared" si="7"/>
        <v>1596</v>
      </c>
    </row>
    <row r="463" spans="1:9" x14ac:dyDescent="0.2">
      <c r="A463" s="12" t="s">
        <v>171</v>
      </c>
      <c r="B463" s="12">
        <f>DATEVALUE(Tabla1[[#This Row],[Columna2]])</f>
        <v>45624</v>
      </c>
      <c r="C463" t="s">
        <v>285</v>
      </c>
      <c r="D463" t="s">
        <v>12</v>
      </c>
      <c r="E463" t="str" cm="1">
        <f t="array" ref="E463">_xlfn.IFS(D463="Eventos particulares","Piloto Junior 1",D463="Federaciones y asociaciones deportivas","Piloto Junior 2",D463="Inspecciones agrícolas","Piloto Senior 1",D463="Inspecciones técnicas","Piloto Senior 2")</f>
        <v>Piloto Junior 1</v>
      </c>
      <c r="F463">
        <v>13.31</v>
      </c>
      <c r="G463" s="1" t="str" cm="1">
        <f t="array" ref="G463">_xlfn.IFS(D463="Eventos particulares","225",D463="Federaciones y asociaciones deportivas","250",D463="Inspecciones agrícolas","275",D463="Inspecciones técnicas","300")</f>
        <v>225</v>
      </c>
      <c r="H463" s="1">
        <f>VALUE(Tabla1[[#This Row],[Columna1]])</f>
        <v>225</v>
      </c>
      <c r="I463" s="1">
        <f t="shared" si="7"/>
        <v>2994.75</v>
      </c>
    </row>
    <row r="464" spans="1:9" x14ac:dyDescent="0.2">
      <c r="A464" s="12" t="s">
        <v>171</v>
      </c>
      <c r="B464" s="12">
        <f>DATEVALUE(Tabla1[[#This Row],[Columna2]])</f>
        <v>45624</v>
      </c>
      <c r="C464" t="s">
        <v>286</v>
      </c>
      <c r="D464" t="s">
        <v>6</v>
      </c>
      <c r="E464" t="str" cm="1">
        <f t="array" ref="E464">_xlfn.IFS(D464="Eventos particulares","Piloto Junior 1",D464="Federaciones y asociaciones deportivas","Piloto Junior 2",D464="Inspecciones agrícolas","Piloto Senior 1",D464="Inspecciones técnicas","Piloto Senior 2")</f>
        <v>Piloto Junior 2</v>
      </c>
      <c r="F464">
        <v>10.54</v>
      </c>
      <c r="G464" s="1" t="str" cm="1">
        <f t="array" ref="G464">_xlfn.IFS(D464="Eventos particulares","225",D464="Federaciones y asociaciones deportivas","250",D464="Inspecciones agrícolas","275",D464="Inspecciones técnicas","300")</f>
        <v>250</v>
      </c>
      <c r="H464" s="1">
        <f>VALUE(Tabla1[[#This Row],[Columna1]])</f>
        <v>250</v>
      </c>
      <c r="I464" s="1">
        <f t="shared" si="7"/>
        <v>2635</v>
      </c>
    </row>
    <row r="465" spans="1:9" x14ac:dyDescent="0.2">
      <c r="A465" s="12" t="s">
        <v>31</v>
      </c>
      <c r="B465" s="12">
        <f>DATEVALUE(Tabla1[[#This Row],[Columna2]])</f>
        <v>45625</v>
      </c>
      <c r="C465" t="s">
        <v>284</v>
      </c>
      <c r="D465" t="s">
        <v>4</v>
      </c>
      <c r="E465" t="str" cm="1">
        <f t="array" ref="E465">_xlfn.IFS(D465="Eventos particulares","Piloto Junior 1",D465="Federaciones y asociaciones deportivas","Piloto Junior 2",D465="Inspecciones agrícolas","Piloto Senior 1",D465="Inspecciones técnicas","Piloto Senior 2")</f>
        <v>Piloto Senior 2</v>
      </c>
      <c r="F465">
        <v>15.96</v>
      </c>
      <c r="G465" s="1" t="str" cm="1">
        <f t="array" ref="G465">_xlfn.IFS(D465="Eventos particulares","225",D465="Federaciones y asociaciones deportivas","250",D465="Inspecciones agrícolas","275",D465="Inspecciones técnicas","300")</f>
        <v>300</v>
      </c>
      <c r="H465" s="1">
        <f>VALUE(Tabla1[[#This Row],[Columna1]])</f>
        <v>300</v>
      </c>
      <c r="I465" s="1">
        <f t="shared" si="7"/>
        <v>4788</v>
      </c>
    </row>
    <row r="466" spans="1:9" x14ac:dyDescent="0.2">
      <c r="A466" s="12" t="s">
        <v>119</v>
      </c>
      <c r="B466" s="12">
        <f>DATEVALUE(Tabla1[[#This Row],[Columna2]])</f>
        <v>45626</v>
      </c>
      <c r="C466" t="s">
        <v>284</v>
      </c>
      <c r="D466" t="s">
        <v>17</v>
      </c>
      <c r="E466" t="str" cm="1">
        <f t="array" ref="E466">_xlfn.IFS(D466="Eventos particulares","Piloto Junior 1",D466="Federaciones y asociaciones deportivas","Piloto Junior 2",D466="Inspecciones agrícolas","Piloto Senior 1",D466="Inspecciones técnicas","Piloto Senior 2")</f>
        <v>Piloto Senior 1</v>
      </c>
      <c r="F466">
        <v>13.9</v>
      </c>
      <c r="G466" s="1" t="str" cm="1">
        <f t="array" ref="G466">_xlfn.IFS(D466="Eventos particulares","225",D466="Federaciones y asociaciones deportivas","250",D466="Inspecciones agrícolas","275",D466="Inspecciones técnicas","300")</f>
        <v>275</v>
      </c>
      <c r="H466" s="1">
        <f>VALUE(Tabla1[[#This Row],[Columna1]])</f>
        <v>275</v>
      </c>
      <c r="I466" s="1">
        <f t="shared" si="7"/>
        <v>3822.5</v>
      </c>
    </row>
    <row r="467" spans="1:9" x14ac:dyDescent="0.2">
      <c r="A467" s="12" t="s">
        <v>265</v>
      </c>
      <c r="B467" s="12">
        <f>DATEVALUE(Tabla1[[#This Row],[Columna2]])</f>
        <v>45628</v>
      </c>
      <c r="C467" t="s">
        <v>287</v>
      </c>
      <c r="D467" t="s">
        <v>12</v>
      </c>
      <c r="E467" t="str" cm="1">
        <f t="array" ref="E467">_xlfn.IFS(D467="Eventos particulares","Piloto Junior 1",D467="Federaciones y asociaciones deportivas","Piloto Junior 2",D467="Inspecciones agrícolas","Piloto Senior 1",D467="Inspecciones técnicas","Piloto Senior 2")</f>
        <v>Piloto Junior 1</v>
      </c>
      <c r="F467">
        <v>12.06</v>
      </c>
      <c r="G467" s="1" t="str" cm="1">
        <f t="array" ref="G467">_xlfn.IFS(D467="Eventos particulares","225",D467="Federaciones y asociaciones deportivas","250",D467="Inspecciones agrícolas","275",D467="Inspecciones técnicas","300")</f>
        <v>225</v>
      </c>
      <c r="H467" s="1">
        <f>VALUE(Tabla1[[#This Row],[Columna1]])</f>
        <v>225</v>
      </c>
      <c r="I467" s="1">
        <f t="shared" si="7"/>
        <v>2713.5</v>
      </c>
    </row>
    <row r="468" spans="1:9" x14ac:dyDescent="0.2">
      <c r="A468" s="12" t="s">
        <v>73</v>
      </c>
      <c r="B468" s="12">
        <f>DATEVALUE(Tabla1[[#This Row],[Columna2]])</f>
        <v>45629</v>
      </c>
      <c r="C468" t="s">
        <v>284</v>
      </c>
      <c r="D468" t="s">
        <v>4</v>
      </c>
      <c r="E468" t="str" cm="1">
        <f t="array" ref="E468">_xlfn.IFS(D468="Eventos particulares","Piloto Junior 1",D468="Federaciones y asociaciones deportivas","Piloto Junior 2",D468="Inspecciones agrícolas","Piloto Senior 1",D468="Inspecciones técnicas","Piloto Senior 2")</f>
        <v>Piloto Senior 2</v>
      </c>
      <c r="F468">
        <v>9.24</v>
      </c>
      <c r="G468" s="1" t="str" cm="1">
        <f t="array" ref="G468">_xlfn.IFS(D468="Eventos particulares","225",D468="Federaciones y asociaciones deportivas","250",D468="Inspecciones agrícolas","275",D468="Inspecciones técnicas","300")</f>
        <v>300</v>
      </c>
      <c r="H468" s="1">
        <f>VALUE(Tabla1[[#This Row],[Columna1]])</f>
        <v>300</v>
      </c>
      <c r="I468" s="1">
        <f t="shared" si="7"/>
        <v>2772</v>
      </c>
    </row>
    <row r="469" spans="1:9" x14ac:dyDescent="0.2">
      <c r="A469" s="12" t="s">
        <v>73</v>
      </c>
      <c r="B469" s="12">
        <f>DATEVALUE(Tabla1[[#This Row],[Columna2]])</f>
        <v>45629</v>
      </c>
      <c r="C469" t="s">
        <v>284</v>
      </c>
      <c r="D469" t="s">
        <v>6</v>
      </c>
      <c r="E469" t="str" cm="1">
        <f t="array" ref="E469">_xlfn.IFS(D469="Eventos particulares","Piloto Junior 1",D469="Federaciones y asociaciones deportivas","Piloto Junior 2",D469="Inspecciones agrícolas","Piloto Senior 1",D469="Inspecciones técnicas","Piloto Senior 2")</f>
        <v>Piloto Junior 2</v>
      </c>
      <c r="F469">
        <v>10.8</v>
      </c>
      <c r="G469" s="1" t="str" cm="1">
        <f t="array" ref="G469">_xlfn.IFS(D469="Eventos particulares","225",D469="Federaciones y asociaciones deportivas","250",D469="Inspecciones agrícolas","275",D469="Inspecciones técnicas","300")</f>
        <v>250</v>
      </c>
      <c r="H469" s="1">
        <f>VALUE(Tabla1[[#This Row],[Columna1]])</f>
        <v>250</v>
      </c>
      <c r="I469" s="1">
        <f t="shared" si="7"/>
        <v>2700</v>
      </c>
    </row>
    <row r="470" spans="1:9" x14ac:dyDescent="0.2">
      <c r="A470" s="12" t="s">
        <v>263</v>
      </c>
      <c r="B470" s="12">
        <f>DATEVALUE(Tabla1[[#This Row],[Columna2]])</f>
        <v>45630</v>
      </c>
      <c r="C470" t="s">
        <v>287</v>
      </c>
      <c r="D470" t="s">
        <v>6</v>
      </c>
      <c r="E470" t="str" cm="1">
        <f t="array" ref="E470">_xlfn.IFS(D470="Eventos particulares","Piloto Junior 1",D470="Federaciones y asociaciones deportivas","Piloto Junior 2",D470="Inspecciones agrícolas","Piloto Senior 1",D470="Inspecciones técnicas","Piloto Senior 2")</f>
        <v>Piloto Junior 2</v>
      </c>
      <c r="F470">
        <v>10.3</v>
      </c>
      <c r="G470" s="1" t="str" cm="1">
        <f t="array" ref="G470">_xlfn.IFS(D470="Eventos particulares","225",D470="Federaciones y asociaciones deportivas","250",D470="Inspecciones agrícolas","275",D470="Inspecciones técnicas","300")</f>
        <v>250</v>
      </c>
      <c r="H470" s="1">
        <f>VALUE(Tabla1[[#This Row],[Columna1]])</f>
        <v>250</v>
      </c>
      <c r="I470" s="1">
        <f t="shared" si="7"/>
        <v>2575</v>
      </c>
    </row>
    <row r="471" spans="1:9" x14ac:dyDescent="0.2">
      <c r="A471" s="12" t="s">
        <v>24</v>
      </c>
      <c r="B471" s="12">
        <f>DATEVALUE(Tabla1[[#This Row],[Columna2]])</f>
        <v>45631</v>
      </c>
      <c r="C471" t="s">
        <v>284</v>
      </c>
      <c r="D471" t="s">
        <v>12</v>
      </c>
      <c r="E471" t="str" cm="1">
        <f t="array" ref="E471">_xlfn.IFS(D471="Eventos particulares","Piloto Junior 1",D471="Federaciones y asociaciones deportivas","Piloto Junior 2",D471="Inspecciones agrícolas","Piloto Senior 1",D471="Inspecciones técnicas","Piloto Senior 2")</f>
        <v>Piloto Junior 1</v>
      </c>
      <c r="F471">
        <v>11.2</v>
      </c>
      <c r="G471" s="1" t="str" cm="1">
        <f t="array" ref="G471">_xlfn.IFS(D471="Eventos particulares","225",D471="Federaciones y asociaciones deportivas","250",D471="Inspecciones agrícolas","275",D471="Inspecciones técnicas","300")</f>
        <v>225</v>
      </c>
      <c r="H471" s="1">
        <f>VALUE(Tabla1[[#This Row],[Columna1]])</f>
        <v>225</v>
      </c>
      <c r="I471" s="1">
        <f t="shared" si="7"/>
        <v>2520</v>
      </c>
    </row>
    <row r="472" spans="1:9" x14ac:dyDescent="0.2">
      <c r="A472" s="12" t="s">
        <v>24</v>
      </c>
      <c r="B472" s="12">
        <f>DATEVALUE(Tabla1[[#This Row],[Columna2]])</f>
        <v>45631</v>
      </c>
      <c r="C472" t="s">
        <v>286</v>
      </c>
      <c r="D472" t="s">
        <v>17</v>
      </c>
      <c r="E472" t="str" cm="1">
        <f t="array" ref="E472">_xlfn.IFS(D472="Eventos particulares","Piloto Junior 1",D472="Federaciones y asociaciones deportivas","Piloto Junior 2",D472="Inspecciones agrícolas","Piloto Senior 1",D472="Inspecciones técnicas","Piloto Senior 2")</f>
        <v>Piloto Senior 1</v>
      </c>
      <c r="F472">
        <v>11.34</v>
      </c>
      <c r="G472" s="1" t="str" cm="1">
        <f t="array" ref="G472">_xlfn.IFS(D472="Eventos particulares","225",D472="Federaciones y asociaciones deportivas","250",D472="Inspecciones agrícolas","275",D472="Inspecciones técnicas","300")</f>
        <v>275</v>
      </c>
      <c r="H472" s="1">
        <f>VALUE(Tabla1[[#This Row],[Columna1]])</f>
        <v>275</v>
      </c>
      <c r="I472" s="1">
        <f t="shared" si="7"/>
        <v>3118.5</v>
      </c>
    </row>
    <row r="473" spans="1:9" x14ac:dyDescent="0.2">
      <c r="A473" s="12" t="s">
        <v>151</v>
      </c>
      <c r="B473" s="12">
        <f>DATEVALUE(Tabla1[[#This Row],[Columna2]])</f>
        <v>45634</v>
      </c>
      <c r="C473" t="s">
        <v>284</v>
      </c>
      <c r="D473" t="s">
        <v>12</v>
      </c>
      <c r="E473" t="str" cm="1">
        <f t="array" ref="E473">_xlfn.IFS(D473="Eventos particulares","Piloto Junior 1",D473="Federaciones y asociaciones deportivas","Piloto Junior 2",D473="Inspecciones agrícolas","Piloto Senior 1",D473="Inspecciones técnicas","Piloto Senior 2")</f>
        <v>Piloto Junior 1</v>
      </c>
      <c r="F473">
        <v>10.6</v>
      </c>
      <c r="G473" s="1" t="str" cm="1">
        <f t="array" ref="G473">_xlfn.IFS(D473="Eventos particulares","225",D473="Federaciones y asociaciones deportivas","250",D473="Inspecciones agrícolas","275",D473="Inspecciones técnicas","300")</f>
        <v>225</v>
      </c>
      <c r="H473" s="1">
        <f>VALUE(Tabla1[[#This Row],[Columna1]])</f>
        <v>225</v>
      </c>
      <c r="I473" s="1">
        <f t="shared" si="7"/>
        <v>2385</v>
      </c>
    </row>
    <row r="474" spans="1:9" x14ac:dyDescent="0.2">
      <c r="A474" s="12" t="s">
        <v>267</v>
      </c>
      <c r="B474" s="12">
        <f>DATEVALUE(Tabla1[[#This Row],[Columna2]])</f>
        <v>45635</v>
      </c>
      <c r="C474" t="s">
        <v>287</v>
      </c>
      <c r="D474" t="s">
        <v>12</v>
      </c>
      <c r="E474" t="str" cm="1">
        <f t="array" ref="E474">_xlfn.IFS(D474="Eventos particulares","Piloto Junior 1",D474="Federaciones y asociaciones deportivas","Piloto Junior 2",D474="Inspecciones agrícolas","Piloto Senior 1",D474="Inspecciones técnicas","Piloto Senior 2")</f>
        <v>Piloto Junior 1</v>
      </c>
      <c r="F474">
        <v>9.92</v>
      </c>
      <c r="G474" s="1" t="str" cm="1">
        <f t="array" ref="G474">_xlfn.IFS(D474="Eventos particulares","225",D474="Federaciones y asociaciones deportivas","250",D474="Inspecciones agrícolas","275",D474="Inspecciones técnicas","300")</f>
        <v>225</v>
      </c>
      <c r="H474" s="1">
        <f>VALUE(Tabla1[[#This Row],[Columna1]])</f>
        <v>225</v>
      </c>
      <c r="I474" s="1">
        <f t="shared" si="7"/>
        <v>2232</v>
      </c>
    </row>
    <row r="475" spans="1:9" x14ac:dyDescent="0.2">
      <c r="A475" s="12" t="s">
        <v>63</v>
      </c>
      <c r="B475" s="12">
        <f>DATEVALUE(Tabla1[[#This Row],[Columna2]])</f>
        <v>45638</v>
      </c>
      <c r="C475" t="s">
        <v>284</v>
      </c>
      <c r="D475" t="s">
        <v>17</v>
      </c>
      <c r="E475" t="str" cm="1">
        <f t="array" ref="E475">_xlfn.IFS(D475="Eventos particulares","Piloto Junior 1",D475="Federaciones y asociaciones deportivas","Piloto Junior 2",D475="Inspecciones agrícolas","Piloto Senior 1",D475="Inspecciones técnicas","Piloto Senior 2")</f>
        <v>Piloto Senior 1</v>
      </c>
      <c r="F475">
        <v>4.84</v>
      </c>
      <c r="G475" s="1" t="str" cm="1">
        <f t="array" ref="G475">_xlfn.IFS(D475="Eventos particulares","225",D475="Federaciones y asociaciones deportivas","250",D475="Inspecciones agrícolas","275",D475="Inspecciones técnicas","300")</f>
        <v>275</v>
      </c>
      <c r="H475" s="1">
        <f>VALUE(Tabla1[[#This Row],[Columna1]])</f>
        <v>275</v>
      </c>
      <c r="I475" s="1">
        <f t="shared" si="7"/>
        <v>1331</v>
      </c>
    </row>
    <row r="476" spans="1:9" x14ac:dyDescent="0.2">
      <c r="A476" s="12" t="s">
        <v>108</v>
      </c>
      <c r="B476" s="12">
        <f>DATEVALUE(Tabla1[[#This Row],[Columna2]])</f>
        <v>45639</v>
      </c>
      <c r="C476" t="s">
        <v>284</v>
      </c>
      <c r="D476" t="s">
        <v>6</v>
      </c>
      <c r="E476" t="str" cm="1">
        <f t="array" ref="E476">_xlfn.IFS(D476="Eventos particulares","Piloto Junior 1",D476="Federaciones y asociaciones deportivas","Piloto Junior 2",D476="Inspecciones agrícolas","Piloto Senior 1",D476="Inspecciones técnicas","Piloto Senior 2")</f>
        <v>Piloto Junior 2</v>
      </c>
      <c r="F476">
        <v>15.93</v>
      </c>
      <c r="G476" s="1" t="str" cm="1">
        <f t="array" ref="G476">_xlfn.IFS(D476="Eventos particulares","225",D476="Federaciones y asociaciones deportivas","250",D476="Inspecciones agrícolas","275",D476="Inspecciones técnicas","300")</f>
        <v>250</v>
      </c>
      <c r="H476" s="1">
        <f>VALUE(Tabla1[[#This Row],[Columna1]])</f>
        <v>250</v>
      </c>
      <c r="I476" s="1">
        <f t="shared" si="7"/>
        <v>3982.5</v>
      </c>
    </row>
    <row r="477" spans="1:9" x14ac:dyDescent="0.2">
      <c r="A477" s="12" t="s">
        <v>108</v>
      </c>
      <c r="B477" s="12">
        <f>DATEVALUE(Tabla1[[#This Row],[Columna2]])</f>
        <v>45639</v>
      </c>
      <c r="C477" t="s">
        <v>285</v>
      </c>
      <c r="D477" t="s">
        <v>17</v>
      </c>
      <c r="E477" t="str" cm="1">
        <f t="array" ref="E477">_xlfn.IFS(D477="Eventos particulares","Piloto Junior 1",D477="Federaciones y asociaciones deportivas","Piloto Junior 2",D477="Inspecciones agrícolas","Piloto Senior 1",D477="Inspecciones técnicas","Piloto Senior 2")</f>
        <v>Piloto Senior 1</v>
      </c>
      <c r="F477">
        <v>8.5</v>
      </c>
      <c r="G477" s="1" t="str" cm="1">
        <f t="array" ref="G477">_xlfn.IFS(D477="Eventos particulares","225",D477="Federaciones y asociaciones deportivas","250",D477="Inspecciones agrícolas","275",D477="Inspecciones técnicas","300")</f>
        <v>275</v>
      </c>
      <c r="H477" s="1">
        <f>VALUE(Tabla1[[#This Row],[Columna1]])</f>
        <v>275</v>
      </c>
      <c r="I477" s="1">
        <f t="shared" si="7"/>
        <v>2337.5</v>
      </c>
    </row>
    <row r="478" spans="1:9" x14ac:dyDescent="0.2">
      <c r="A478" s="12" t="s">
        <v>108</v>
      </c>
      <c r="B478" s="12">
        <f>DATEVALUE(Tabla1[[#This Row],[Columna2]])</f>
        <v>45639</v>
      </c>
      <c r="C478" t="s">
        <v>286</v>
      </c>
      <c r="D478" t="s">
        <v>12</v>
      </c>
      <c r="E478" t="str" cm="1">
        <f t="array" ref="E478">_xlfn.IFS(D478="Eventos particulares","Piloto Junior 1",D478="Federaciones y asociaciones deportivas","Piloto Junior 2",D478="Inspecciones agrícolas","Piloto Senior 1",D478="Inspecciones técnicas","Piloto Senior 2")</f>
        <v>Piloto Junior 1</v>
      </c>
      <c r="F478">
        <v>14.04</v>
      </c>
      <c r="G478" s="1" t="str" cm="1">
        <f t="array" ref="G478">_xlfn.IFS(D478="Eventos particulares","225",D478="Federaciones y asociaciones deportivas","250",D478="Inspecciones agrícolas","275",D478="Inspecciones técnicas","300")</f>
        <v>225</v>
      </c>
      <c r="H478" s="1">
        <f>VALUE(Tabla1[[#This Row],[Columna1]])</f>
        <v>225</v>
      </c>
      <c r="I478" s="1">
        <f t="shared" si="7"/>
        <v>3159</v>
      </c>
    </row>
    <row r="479" spans="1:9" x14ac:dyDescent="0.2">
      <c r="A479" s="12" t="s">
        <v>26</v>
      </c>
      <c r="B479" s="12">
        <f>DATEVALUE(Tabla1[[#This Row],[Columna2]])</f>
        <v>45640</v>
      </c>
      <c r="C479" t="s">
        <v>284</v>
      </c>
      <c r="D479" t="s">
        <v>17</v>
      </c>
      <c r="E479" t="str" cm="1">
        <f t="array" ref="E479">_xlfn.IFS(D479="Eventos particulares","Piloto Junior 1",D479="Federaciones y asociaciones deportivas","Piloto Junior 2",D479="Inspecciones agrícolas","Piloto Senior 1",D479="Inspecciones técnicas","Piloto Senior 2")</f>
        <v>Piloto Senior 1</v>
      </c>
      <c r="F479">
        <v>12.77</v>
      </c>
      <c r="G479" s="1" t="str" cm="1">
        <f t="array" ref="G479">_xlfn.IFS(D479="Eventos particulares","225",D479="Federaciones y asociaciones deportivas","250",D479="Inspecciones agrícolas","275",D479="Inspecciones técnicas","300")</f>
        <v>275</v>
      </c>
      <c r="H479" s="1">
        <f>VALUE(Tabla1[[#This Row],[Columna1]])</f>
        <v>275</v>
      </c>
      <c r="I479" s="1">
        <f t="shared" si="7"/>
        <v>3511.75</v>
      </c>
    </row>
    <row r="480" spans="1:9" x14ac:dyDescent="0.2">
      <c r="A480" s="12" t="s">
        <v>57</v>
      </c>
      <c r="B480" s="12">
        <f>DATEVALUE(Tabla1[[#This Row],[Columna2]])</f>
        <v>45641</v>
      </c>
      <c r="C480" t="s">
        <v>284</v>
      </c>
      <c r="D480" t="s">
        <v>12</v>
      </c>
      <c r="E480" t="str" cm="1">
        <f t="array" ref="E480">_xlfn.IFS(D480="Eventos particulares","Piloto Junior 1",D480="Federaciones y asociaciones deportivas","Piloto Junior 2",D480="Inspecciones agrícolas","Piloto Senior 1",D480="Inspecciones técnicas","Piloto Senior 2")</f>
        <v>Piloto Junior 1</v>
      </c>
      <c r="F480">
        <v>12.76</v>
      </c>
      <c r="G480" s="1" t="str" cm="1">
        <f t="array" ref="G480">_xlfn.IFS(D480="Eventos particulares","225",D480="Federaciones y asociaciones deportivas","250",D480="Inspecciones agrícolas","275",D480="Inspecciones técnicas","300")</f>
        <v>225</v>
      </c>
      <c r="H480" s="1">
        <f>VALUE(Tabla1[[#This Row],[Columna1]])</f>
        <v>225</v>
      </c>
      <c r="I480" s="1">
        <f t="shared" si="7"/>
        <v>2871</v>
      </c>
    </row>
    <row r="481" spans="1:9" x14ac:dyDescent="0.2">
      <c r="A481" s="12" t="s">
        <v>57</v>
      </c>
      <c r="B481" s="12">
        <f>DATEVALUE(Tabla1[[#This Row],[Columna2]])</f>
        <v>45641</v>
      </c>
      <c r="C481" t="s">
        <v>284</v>
      </c>
      <c r="D481" t="s">
        <v>17</v>
      </c>
      <c r="E481" t="str" cm="1">
        <f t="array" ref="E481">_xlfn.IFS(D481="Eventos particulares","Piloto Junior 1",D481="Federaciones y asociaciones deportivas","Piloto Junior 2",D481="Inspecciones agrícolas","Piloto Senior 1",D481="Inspecciones técnicas","Piloto Senior 2")</f>
        <v>Piloto Senior 1</v>
      </c>
      <c r="F481">
        <v>15.95</v>
      </c>
      <c r="G481" s="1" t="str" cm="1">
        <f t="array" ref="G481">_xlfn.IFS(D481="Eventos particulares","225",D481="Federaciones y asociaciones deportivas","250",D481="Inspecciones agrícolas","275",D481="Inspecciones técnicas","300")</f>
        <v>275</v>
      </c>
      <c r="H481" s="1">
        <f>VALUE(Tabla1[[#This Row],[Columna1]])</f>
        <v>275</v>
      </c>
      <c r="I481" s="1">
        <f t="shared" si="7"/>
        <v>4386.25</v>
      </c>
    </row>
    <row r="482" spans="1:9" x14ac:dyDescent="0.2">
      <c r="A482" s="12" t="s">
        <v>57</v>
      </c>
      <c r="B482" s="12">
        <f>DATEVALUE(Tabla1[[#This Row],[Columna2]])</f>
        <v>45641</v>
      </c>
      <c r="C482" t="s">
        <v>285</v>
      </c>
      <c r="D482" t="s">
        <v>17</v>
      </c>
      <c r="E482" t="str" cm="1">
        <f t="array" ref="E482">_xlfn.IFS(D482="Eventos particulares","Piloto Junior 1",D482="Federaciones y asociaciones deportivas","Piloto Junior 2",D482="Inspecciones agrícolas","Piloto Senior 1",D482="Inspecciones técnicas","Piloto Senior 2")</f>
        <v>Piloto Senior 1</v>
      </c>
      <c r="F482">
        <v>15.69</v>
      </c>
      <c r="G482" s="1" t="str" cm="1">
        <f t="array" ref="G482">_xlfn.IFS(D482="Eventos particulares","225",D482="Federaciones y asociaciones deportivas","250",D482="Inspecciones agrícolas","275",D482="Inspecciones técnicas","300")</f>
        <v>275</v>
      </c>
      <c r="H482" s="1">
        <f>VALUE(Tabla1[[#This Row],[Columna1]])</f>
        <v>275</v>
      </c>
      <c r="I482" s="1">
        <f t="shared" si="7"/>
        <v>4314.75</v>
      </c>
    </row>
    <row r="483" spans="1:9" x14ac:dyDescent="0.2">
      <c r="A483" s="12" t="s">
        <v>14</v>
      </c>
      <c r="B483" s="12">
        <f>DATEVALUE(Tabla1[[#This Row],[Columna2]])</f>
        <v>45645</v>
      </c>
      <c r="C483" t="s">
        <v>284</v>
      </c>
      <c r="D483" t="s">
        <v>4</v>
      </c>
      <c r="E483" t="str" cm="1">
        <f t="array" ref="E483">_xlfn.IFS(D483="Eventos particulares","Piloto Junior 1",D483="Federaciones y asociaciones deportivas","Piloto Junior 2",D483="Inspecciones agrícolas","Piloto Senior 1",D483="Inspecciones técnicas","Piloto Senior 2")</f>
        <v>Piloto Senior 2</v>
      </c>
      <c r="F483">
        <v>5.25</v>
      </c>
      <c r="G483" s="1" t="str" cm="1">
        <f t="array" ref="G483">_xlfn.IFS(D483="Eventos particulares","225",D483="Federaciones y asociaciones deportivas","250",D483="Inspecciones agrícolas","275",D483="Inspecciones técnicas","300")</f>
        <v>300</v>
      </c>
      <c r="H483" s="1">
        <f>VALUE(Tabla1[[#This Row],[Columna1]])</f>
        <v>300</v>
      </c>
      <c r="I483" s="1">
        <f t="shared" si="7"/>
        <v>1575</v>
      </c>
    </row>
    <row r="484" spans="1:9" x14ac:dyDescent="0.2">
      <c r="A484" s="12" t="s">
        <v>14</v>
      </c>
      <c r="B484" s="12">
        <f>DATEVALUE(Tabla1[[#This Row],[Columna2]])</f>
        <v>45645</v>
      </c>
      <c r="C484" t="s">
        <v>284</v>
      </c>
      <c r="D484" t="s">
        <v>12</v>
      </c>
      <c r="E484" t="str" cm="1">
        <f t="array" ref="E484">_xlfn.IFS(D484="Eventos particulares","Piloto Junior 1",D484="Federaciones y asociaciones deportivas","Piloto Junior 2",D484="Inspecciones agrícolas","Piloto Senior 1",D484="Inspecciones técnicas","Piloto Senior 2")</f>
        <v>Piloto Junior 1</v>
      </c>
      <c r="F484">
        <v>13.03</v>
      </c>
      <c r="G484" s="1" t="str" cm="1">
        <f t="array" ref="G484">_xlfn.IFS(D484="Eventos particulares","225",D484="Federaciones y asociaciones deportivas","250",D484="Inspecciones agrícolas","275",D484="Inspecciones técnicas","300")</f>
        <v>225</v>
      </c>
      <c r="H484" s="1">
        <f>VALUE(Tabla1[[#This Row],[Columna1]])</f>
        <v>225</v>
      </c>
      <c r="I484" s="1">
        <f t="shared" si="7"/>
        <v>2931.75</v>
      </c>
    </row>
    <row r="485" spans="1:9" x14ac:dyDescent="0.2">
      <c r="A485" s="12" t="s">
        <v>14</v>
      </c>
      <c r="B485" s="12">
        <f>DATEVALUE(Tabla1[[#This Row],[Columna2]])</f>
        <v>45645</v>
      </c>
      <c r="C485" t="s">
        <v>287</v>
      </c>
      <c r="D485" t="s">
        <v>4</v>
      </c>
      <c r="E485" t="str" cm="1">
        <f t="array" ref="E485">_xlfn.IFS(D485="Eventos particulares","Piloto Junior 1",D485="Federaciones y asociaciones deportivas","Piloto Junior 2",D485="Inspecciones agrícolas","Piloto Senior 1",D485="Inspecciones técnicas","Piloto Senior 2")</f>
        <v>Piloto Senior 2</v>
      </c>
      <c r="F485">
        <v>8.68</v>
      </c>
      <c r="G485" s="1" t="str" cm="1">
        <f t="array" ref="G485">_xlfn.IFS(D485="Eventos particulares","225",D485="Federaciones y asociaciones deportivas","250",D485="Inspecciones agrícolas","275",D485="Inspecciones técnicas","300")</f>
        <v>300</v>
      </c>
      <c r="H485" s="1">
        <f>VALUE(Tabla1[[#This Row],[Columna1]])</f>
        <v>300</v>
      </c>
      <c r="I485" s="1">
        <f t="shared" si="7"/>
        <v>2604</v>
      </c>
    </row>
    <row r="486" spans="1:9" x14ac:dyDescent="0.2">
      <c r="A486" s="12" t="s">
        <v>266</v>
      </c>
      <c r="B486" s="12">
        <f>DATEVALUE(Tabla1[[#This Row],[Columna2]])</f>
        <v>45646</v>
      </c>
      <c r="C486" t="s">
        <v>287</v>
      </c>
      <c r="D486" t="s">
        <v>12</v>
      </c>
      <c r="E486" t="str" cm="1">
        <f t="array" ref="E486">_xlfn.IFS(D486="Eventos particulares","Piloto Junior 1",D486="Federaciones y asociaciones deportivas","Piloto Junior 2",D486="Inspecciones agrícolas","Piloto Senior 1",D486="Inspecciones técnicas","Piloto Senior 2")</f>
        <v>Piloto Junior 1</v>
      </c>
      <c r="F486">
        <v>5.91</v>
      </c>
      <c r="G486" s="1" t="str" cm="1">
        <f t="array" ref="G486">_xlfn.IFS(D486="Eventos particulares","225",D486="Federaciones y asociaciones deportivas","250",D486="Inspecciones agrícolas","275",D486="Inspecciones técnicas","300")</f>
        <v>225</v>
      </c>
      <c r="H486" s="1">
        <f>VALUE(Tabla1[[#This Row],[Columna1]])</f>
        <v>225</v>
      </c>
      <c r="I486" s="1">
        <f t="shared" si="7"/>
        <v>1329.75</v>
      </c>
    </row>
    <row r="487" spans="1:9" x14ac:dyDescent="0.2">
      <c r="A487" s="12" t="s">
        <v>226</v>
      </c>
      <c r="B487" s="12">
        <f>DATEVALUE(Tabla1[[#This Row],[Columna2]])</f>
        <v>45647</v>
      </c>
      <c r="C487" t="s">
        <v>286</v>
      </c>
      <c r="D487" t="s">
        <v>4</v>
      </c>
      <c r="E487" t="str" cm="1">
        <f t="array" ref="E487">_xlfn.IFS(D487="Eventos particulares","Piloto Junior 1",D487="Federaciones y asociaciones deportivas","Piloto Junior 2",D487="Inspecciones agrícolas","Piloto Senior 1",D487="Inspecciones técnicas","Piloto Senior 2")</f>
        <v>Piloto Senior 2</v>
      </c>
      <c r="F487">
        <v>8.18</v>
      </c>
      <c r="G487" s="1" t="str" cm="1">
        <f t="array" ref="G487">_xlfn.IFS(D487="Eventos particulares","225",D487="Federaciones y asociaciones deportivas","250",D487="Inspecciones agrícolas","275",D487="Inspecciones técnicas","300")</f>
        <v>300</v>
      </c>
      <c r="H487" s="1">
        <f>VALUE(Tabla1[[#This Row],[Columna1]])</f>
        <v>300</v>
      </c>
      <c r="I487" s="1">
        <f t="shared" si="7"/>
        <v>2454</v>
      </c>
    </row>
    <row r="488" spans="1:9" x14ac:dyDescent="0.2">
      <c r="A488" s="12" t="s">
        <v>27</v>
      </c>
      <c r="B488" s="12">
        <f>DATEVALUE(Tabla1[[#This Row],[Columna2]])</f>
        <v>45648</v>
      </c>
      <c r="C488" t="s">
        <v>284</v>
      </c>
      <c r="D488" t="s">
        <v>4</v>
      </c>
      <c r="E488" t="str" cm="1">
        <f t="array" ref="E488">_xlfn.IFS(D488="Eventos particulares","Piloto Junior 1",D488="Federaciones y asociaciones deportivas","Piloto Junior 2",D488="Inspecciones agrícolas","Piloto Senior 1",D488="Inspecciones técnicas","Piloto Senior 2")</f>
        <v>Piloto Senior 2</v>
      </c>
      <c r="F488">
        <v>13.87</v>
      </c>
      <c r="G488" s="1" t="str" cm="1">
        <f t="array" ref="G488">_xlfn.IFS(D488="Eventos particulares","225",D488="Federaciones y asociaciones deportivas","250",D488="Inspecciones agrícolas","275",D488="Inspecciones técnicas","300")</f>
        <v>300</v>
      </c>
      <c r="H488" s="1">
        <f>VALUE(Tabla1[[#This Row],[Columna1]])</f>
        <v>300</v>
      </c>
      <c r="I488" s="1">
        <f t="shared" si="7"/>
        <v>4161</v>
      </c>
    </row>
    <row r="489" spans="1:9" x14ac:dyDescent="0.2">
      <c r="A489" s="12" t="s">
        <v>27</v>
      </c>
      <c r="B489" s="12">
        <f>DATEVALUE(Tabla1[[#This Row],[Columna2]])</f>
        <v>45648</v>
      </c>
      <c r="C489" t="s">
        <v>284</v>
      </c>
      <c r="D489" t="s">
        <v>17</v>
      </c>
      <c r="E489" t="str" cm="1">
        <f t="array" ref="E489">_xlfn.IFS(D489="Eventos particulares","Piloto Junior 1",D489="Federaciones y asociaciones deportivas","Piloto Junior 2",D489="Inspecciones agrícolas","Piloto Senior 1",D489="Inspecciones técnicas","Piloto Senior 2")</f>
        <v>Piloto Senior 1</v>
      </c>
      <c r="F489">
        <v>14.8</v>
      </c>
      <c r="G489" s="1" t="str" cm="1">
        <f t="array" ref="G489">_xlfn.IFS(D489="Eventos particulares","225",D489="Federaciones y asociaciones deportivas","250",D489="Inspecciones agrícolas","275",D489="Inspecciones técnicas","300")</f>
        <v>275</v>
      </c>
      <c r="H489" s="1">
        <f>VALUE(Tabla1[[#This Row],[Columna1]])</f>
        <v>275</v>
      </c>
      <c r="I489" s="1">
        <f t="shared" si="7"/>
        <v>4070</v>
      </c>
    </row>
    <row r="490" spans="1:9" x14ac:dyDescent="0.2">
      <c r="A490" s="12" t="s">
        <v>27</v>
      </c>
      <c r="B490" s="12">
        <f>DATEVALUE(Tabla1[[#This Row],[Columna2]])</f>
        <v>45648</v>
      </c>
      <c r="C490" t="s">
        <v>284</v>
      </c>
      <c r="D490" t="s">
        <v>4</v>
      </c>
      <c r="E490" t="str" cm="1">
        <f t="array" ref="E490">_xlfn.IFS(D490="Eventos particulares","Piloto Junior 1",D490="Federaciones y asociaciones deportivas","Piloto Junior 2",D490="Inspecciones agrícolas","Piloto Senior 1",D490="Inspecciones técnicas","Piloto Senior 2")</f>
        <v>Piloto Senior 2</v>
      </c>
      <c r="F490">
        <v>6.06</v>
      </c>
      <c r="G490" s="1" t="str" cm="1">
        <f t="array" ref="G490">_xlfn.IFS(D490="Eventos particulares","225",D490="Federaciones y asociaciones deportivas","250",D490="Inspecciones agrícolas","275",D490="Inspecciones técnicas","300")</f>
        <v>300</v>
      </c>
      <c r="H490" s="1">
        <f>VALUE(Tabla1[[#This Row],[Columna1]])</f>
        <v>300</v>
      </c>
      <c r="I490" s="1">
        <f t="shared" si="7"/>
        <v>1817.9999999999998</v>
      </c>
    </row>
    <row r="491" spans="1:9" x14ac:dyDescent="0.2">
      <c r="A491" s="12" t="s">
        <v>27</v>
      </c>
      <c r="B491" s="12">
        <f>DATEVALUE(Tabla1[[#This Row],[Columna2]])</f>
        <v>45648</v>
      </c>
      <c r="C491" t="s">
        <v>285</v>
      </c>
      <c r="D491" t="s">
        <v>4</v>
      </c>
      <c r="E491" t="str" cm="1">
        <f t="array" ref="E491">_xlfn.IFS(D491="Eventos particulares","Piloto Junior 1",D491="Federaciones y asociaciones deportivas","Piloto Junior 2",D491="Inspecciones agrícolas","Piloto Senior 1",D491="Inspecciones técnicas","Piloto Senior 2")</f>
        <v>Piloto Senior 2</v>
      </c>
      <c r="F491">
        <v>8.48</v>
      </c>
      <c r="G491" s="1" t="str" cm="1">
        <f t="array" ref="G491">_xlfn.IFS(D491="Eventos particulares","225",D491="Federaciones y asociaciones deportivas","250",D491="Inspecciones agrícolas","275",D491="Inspecciones técnicas","300")</f>
        <v>300</v>
      </c>
      <c r="H491" s="1">
        <f>VALUE(Tabla1[[#This Row],[Columna1]])</f>
        <v>300</v>
      </c>
      <c r="I491" s="1">
        <f t="shared" si="7"/>
        <v>2544</v>
      </c>
    </row>
    <row r="492" spans="1:9" x14ac:dyDescent="0.2">
      <c r="A492" s="12" t="s">
        <v>27</v>
      </c>
      <c r="B492" s="12">
        <f>DATEVALUE(Tabla1[[#This Row],[Columna2]])</f>
        <v>45648</v>
      </c>
      <c r="C492" t="s">
        <v>287</v>
      </c>
      <c r="D492" t="s">
        <v>4</v>
      </c>
      <c r="E492" t="str" cm="1">
        <f t="array" ref="E492">_xlfn.IFS(D492="Eventos particulares","Piloto Junior 1",D492="Federaciones y asociaciones deportivas","Piloto Junior 2",D492="Inspecciones agrícolas","Piloto Senior 1",D492="Inspecciones técnicas","Piloto Senior 2")</f>
        <v>Piloto Senior 2</v>
      </c>
      <c r="F492">
        <v>15.22</v>
      </c>
      <c r="G492" s="1" t="str" cm="1">
        <f t="array" ref="G492">_xlfn.IFS(D492="Eventos particulares","225",D492="Federaciones y asociaciones deportivas","250",D492="Inspecciones agrícolas","275",D492="Inspecciones técnicas","300")</f>
        <v>300</v>
      </c>
      <c r="H492" s="1">
        <f>VALUE(Tabla1[[#This Row],[Columna1]])</f>
        <v>300</v>
      </c>
      <c r="I492" s="1">
        <f t="shared" si="7"/>
        <v>4566</v>
      </c>
    </row>
    <row r="493" spans="1:9" x14ac:dyDescent="0.2">
      <c r="A493" s="12" t="s">
        <v>216</v>
      </c>
      <c r="B493" s="12">
        <f>DATEVALUE(Tabla1[[#This Row],[Columna2]])</f>
        <v>45649</v>
      </c>
      <c r="C493" t="s">
        <v>285</v>
      </c>
      <c r="D493" t="s">
        <v>4</v>
      </c>
      <c r="E493" t="str" cm="1">
        <f t="array" ref="E493">_xlfn.IFS(D493="Eventos particulares","Piloto Junior 1",D493="Federaciones y asociaciones deportivas","Piloto Junior 2",D493="Inspecciones agrícolas","Piloto Senior 1",D493="Inspecciones técnicas","Piloto Senior 2")</f>
        <v>Piloto Senior 2</v>
      </c>
      <c r="F493">
        <v>8.36</v>
      </c>
      <c r="G493" s="1" t="str" cm="1">
        <f t="array" ref="G493">_xlfn.IFS(D493="Eventos particulares","225",D493="Federaciones y asociaciones deportivas","250",D493="Inspecciones agrícolas","275",D493="Inspecciones técnicas","300")</f>
        <v>300</v>
      </c>
      <c r="H493" s="1">
        <f>VALUE(Tabla1[[#This Row],[Columna1]])</f>
        <v>300</v>
      </c>
      <c r="I493" s="1">
        <f t="shared" si="7"/>
        <v>2508</v>
      </c>
    </row>
    <row r="494" spans="1:9" x14ac:dyDescent="0.2">
      <c r="A494" s="12" t="s">
        <v>216</v>
      </c>
      <c r="B494" s="12">
        <f>DATEVALUE(Tabla1[[#This Row],[Columna2]])</f>
        <v>45649</v>
      </c>
      <c r="C494" t="s">
        <v>285</v>
      </c>
      <c r="D494" t="s">
        <v>6</v>
      </c>
      <c r="E494" t="str" cm="1">
        <f t="array" ref="E494">_xlfn.IFS(D494="Eventos particulares","Piloto Junior 1",D494="Federaciones y asociaciones deportivas","Piloto Junior 2",D494="Inspecciones agrícolas","Piloto Senior 1",D494="Inspecciones técnicas","Piloto Senior 2")</f>
        <v>Piloto Junior 2</v>
      </c>
      <c r="F494">
        <v>10.45</v>
      </c>
      <c r="G494" s="1" t="str" cm="1">
        <f t="array" ref="G494">_xlfn.IFS(D494="Eventos particulares","225",D494="Federaciones y asociaciones deportivas","250",D494="Inspecciones agrícolas","275",D494="Inspecciones técnicas","300")</f>
        <v>250</v>
      </c>
      <c r="H494" s="1">
        <f>VALUE(Tabla1[[#This Row],[Columna1]])</f>
        <v>250</v>
      </c>
      <c r="I494" s="1">
        <f t="shared" si="7"/>
        <v>2612.5</v>
      </c>
    </row>
    <row r="495" spans="1:9" x14ac:dyDescent="0.2">
      <c r="A495" s="12" t="s">
        <v>275</v>
      </c>
      <c r="B495" s="12">
        <f>DATEVALUE(Tabla1[[#This Row],[Columna2]])</f>
        <v>45650</v>
      </c>
      <c r="C495" t="s">
        <v>287</v>
      </c>
      <c r="D495" t="s">
        <v>12</v>
      </c>
      <c r="E495" t="str" cm="1">
        <f t="array" ref="E495">_xlfn.IFS(D495="Eventos particulares","Piloto Junior 1",D495="Federaciones y asociaciones deportivas","Piloto Junior 2",D495="Inspecciones agrícolas","Piloto Senior 1",D495="Inspecciones técnicas","Piloto Senior 2")</f>
        <v>Piloto Junior 1</v>
      </c>
      <c r="F495">
        <v>9.41</v>
      </c>
      <c r="G495" s="1" t="str" cm="1">
        <f t="array" ref="G495">_xlfn.IFS(D495="Eventos particulares","225",D495="Federaciones y asociaciones deportivas","250",D495="Inspecciones agrícolas","275",D495="Inspecciones técnicas","300")</f>
        <v>225</v>
      </c>
      <c r="H495" s="1">
        <f>VALUE(Tabla1[[#This Row],[Columna1]])</f>
        <v>225</v>
      </c>
      <c r="I495" s="1">
        <f t="shared" si="7"/>
        <v>2117.25</v>
      </c>
    </row>
    <row r="496" spans="1:9" x14ac:dyDescent="0.2">
      <c r="A496" s="12" t="s">
        <v>44</v>
      </c>
      <c r="B496" s="12">
        <f>DATEVALUE(Tabla1[[#This Row],[Columna2]])</f>
        <v>45651</v>
      </c>
      <c r="C496" t="s">
        <v>284</v>
      </c>
      <c r="D496" t="s">
        <v>12</v>
      </c>
      <c r="E496" t="str" cm="1">
        <f t="array" ref="E496">_xlfn.IFS(D496="Eventos particulares","Piloto Junior 1",D496="Federaciones y asociaciones deportivas","Piloto Junior 2",D496="Inspecciones agrícolas","Piloto Senior 1",D496="Inspecciones técnicas","Piloto Senior 2")</f>
        <v>Piloto Junior 1</v>
      </c>
      <c r="F496">
        <v>7.64</v>
      </c>
      <c r="G496" s="1" t="str" cm="1">
        <f t="array" ref="G496">_xlfn.IFS(D496="Eventos particulares","225",D496="Federaciones y asociaciones deportivas","250",D496="Inspecciones agrícolas","275",D496="Inspecciones técnicas","300")</f>
        <v>225</v>
      </c>
      <c r="H496" s="1">
        <f>VALUE(Tabla1[[#This Row],[Columna1]])</f>
        <v>225</v>
      </c>
      <c r="I496" s="1">
        <f t="shared" si="7"/>
        <v>1719</v>
      </c>
    </row>
    <row r="497" spans="1:9" x14ac:dyDescent="0.2">
      <c r="A497" s="12" t="s">
        <v>44</v>
      </c>
      <c r="B497" s="12">
        <f>DATEVALUE(Tabla1[[#This Row],[Columna2]])</f>
        <v>45651</v>
      </c>
      <c r="C497" t="s">
        <v>285</v>
      </c>
      <c r="D497" t="s">
        <v>4</v>
      </c>
      <c r="E497" t="str" cm="1">
        <f t="array" ref="E497">_xlfn.IFS(D497="Eventos particulares","Piloto Junior 1",D497="Federaciones y asociaciones deportivas","Piloto Junior 2",D497="Inspecciones agrícolas","Piloto Senior 1",D497="Inspecciones técnicas","Piloto Senior 2")</f>
        <v>Piloto Senior 2</v>
      </c>
      <c r="F497">
        <v>10.83</v>
      </c>
      <c r="G497" s="1" t="str" cm="1">
        <f t="array" ref="G497">_xlfn.IFS(D497="Eventos particulares","225",D497="Federaciones y asociaciones deportivas","250",D497="Inspecciones agrícolas","275",D497="Inspecciones técnicas","300")</f>
        <v>300</v>
      </c>
      <c r="H497" s="1">
        <f>VALUE(Tabla1[[#This Row],[Columna1]])</f>
        <v>300</v>
      </c>
      <c r="I497" s="1">
        <f t="shared" si="7"/>
        <v>3249</v>
      </c>
    </row>
    <row r="498" spans="1:9" x14ac:dyDescent="0.2">
      <c r="A498" s="12" t="s">
        <v>90</v>
      </c>
      <c r="B498" s="12">
        <f>DATEVALUE(Tabla1[[#This Row],[Columna2]])</f>
        <v>45652</v>
      </c>
      <c r="C498" t="s">
        <v>284</v>
      </c>
      <c r="D498" t="s">
        <v>4</v>
      </c>
      <c r="E498" t="str" cm="1">
        <f t="array" ref="E498">_xlfn.IFS(D498="Eventos particulares","Piloto Junior 1",D498="Federaciones y asociaciones deportivas","Piloto Junior 2",D498="Inspecciones agrícolas","Piloto Senior 1",D498="Inspecciones técnicas","Piloto Senior 2")</f>
        <v>Piloto Senior 2</v>
      </c>
      <c r="F498">
        <v>11.38</v>
      </c>
      <c r="G498" s="1" t="str" cm="1">
        <f t="array" ref="G498">_xlfn.IFS(D498="Eventos particulares","225",D498="Federaciones y asociaciones deportivas","250",D498="Inspecciones agrícolas","275",D498="Inspecciones técnicas","300")</f>
        <v>300</v>
      </c>
      <c r="H498" s="1">
        <f>VALUE(Tabla1[[#This Row],[Columna1]])</f>
        <v>300</v>
      </c>
      <c r="I498" s="1">
        <f t="shared" si="7"/>
        <v>3414.0000000000005</v>
      </c>
    </row>
    <row r="499" spans="1:9" x14ac:dyDescent="0.2">
      <c r="A499" s="12" t="s">
        <v>90</v>
      </c>
      <c r="B499" s="12">
        <f>DATEVALUE(Tabla1[[#This Row],[Columna2]])</f>
        <v>45652</v>
      </c>
      <c r="C499" t="s">
        <v>285</v>
      </c>
      <c r="D499" t="s">
        <v>12</v>
      </c>
      <c r="E499" t="str" cm="1">
        <f t="array" ref="E499">_xlfn.IFS(D499="Eventos particulares","Piloto Junior 1",D499="Federaciones y asociaciones deportivas","Piloto Junior 2",D499="Inspecciones agrícolas","Piloto Senior 1",D499="Inspecciones técnicas","Piloto Senior 2")</f>
        <v>Piloto Junior 1</v>
      </c>
      <c r="F499">
        <v>13.34</v>
      </c>
      <c r="G499" s="1" t="str" cm="1">
        <f t="array" ref="G499">_xlfn.IFS(D499="Eventos particulares","225",D499="Federaciones y asociaciones deportivas","250",D499="Inspecciones agrícolas","275",D499="Inspecciones técnicas","300")</f>
        <v>225</v>
      </c>
      <c r="H499" s="1">
        <f>VALUE(Tabla1[[#This Row],[Columna1]])</f>
        <v>225</v>
      </c>
      <c r="I499" s="1">
        <f t="shared" si="7"/>
        <v>3001.5</v>
      </c>
    </row>
    <row r="500" spans="1:9" x14ac:dyDescent="0.2">
      <c r="A500" s="12" t="s">
        <v>155</v>
      </c>
      <c r="B500" s="12">
        <f>DATEVALUE(Tabla1[[#This Row],[Columna2]])</f>
        <v>45653</v>
      </c>
      <c r="C500" t="s">
        <v>284</v>
      </c>
      <c r="D500" t="s">
        <v>4</v>
      </c>
      <c r="E500" t="str" cm="1">
        <f t="array" ref="E500">_xlfn.IFS(D500="Eventos particulares","Piloto Junior 1",D500="Federaciones y asociaciones deportivas","Piloto Junior 2",D500="Inspecciones agrícolas","Piloto Senior 1",D500="Inspecciones técnicas","Piloto Senior 2")</f>
        <v>Piloto Senior 2</v>
      </c>
      <c r="F500">
        <v>10.53</v>
      </c>
      <c r="G500" s="1" t="str" cm="1">
        <f t="array" ref="G500">_xlfn.IFS(D500="Eventos particulares","225",D500="Federaciones y asociaciones deportivas","250",D500="Inspecciones agrícolas","275",D500="Inspecciones técnicas","300")</f>
        <v>300</v>
      </c>
      <c r="H500" s="1">
        <f>VALUE(Tabla1[[#This Row],[Columna1]])</f>
        <v>300</v>
      </c>
      <c r="I500" s="1">
        <f t="shared" si="7"/>
        <v>3159</v>
      </c>
    </row>
    <row r="501" spans="1:9" x14ac:dyDescent="0.2">
      <c r="A501" s="12" t="s">
        <v>155</v>
      </c>
      <c r="B501" s="12">
        <f>DATEVALUE(Tabla1[[#This Row],[Columna2]])</f>
        <v>45653</v>
      </c>
      <c r="C501" t="s">
        <v>286</v>
      </c>
      <c r="D501" t="s">
        <v>4</v>
      </c>
      <c r="E501" t="str" cm="1">
        <f t="array" ref="E501">_xlfn.IFS(D501="Eventos particulares","Piloto Junior 1",D501="Federaciones y asociaciones deportivas","Piloto Junior 2",D501="Inspecciones agrícolas","Piloto Senior 1",D501="Inspecciones técnicas","Piloto Senior 2")</f>
        <v>Piloto Senior 2</v>
      </c>
      <c r="F501">
        <v>9.31</v>
      </c>
      <c r="G501" s="1" t="str" cm="1">
        <f t="array" ref="G501">_xlfn.IFS(D501="Eventos particulares","225",D501="Federaciones y asociaciones deportivas","250",D501="Inspecciones agrícolas","275",D501="Inspecciones técnicas","300")</f>
        <v>300</v>
      </c>
      <c r="H501" s="1">
        <f>VALUE(Tabla1[[#This Row],[Columna1]])</f>
        <v>300</v>
      </c>
      <c r="I501" s="1">
        <f t="shared" si="7"/>
        <v>2793</v>
      </c>
    </row>
    <row r="502" spans="1:9" x14ac:dyDescent="0.2">
      <c r="A502" s="12" t="s">
        <v>155</v>
      </c>
      <c r="B502" s="12">
        <f>DATEVALUE(Tabla1[[#This Row],[Columna2]])</f>
        <v>45653</v>
      </c>
      <c r="C502" t="s">
        <v>287</v>
      </c>
      <c r="D502" t="s">
        <v>4</v>
      </c>
      <c r="E502" t="str" cm="1">
        <f t="array" ref="E502">_xlfn.IFS(D502="Eventos particulares","Piloto Junior 1",D502="Federaciones y asociaciones deportivas","Piloto Junior 2",D502="Inspecciones agrícolas","Piloto Senior 1",D502="Inspecciones técnicas","Piloto Senior 2")</f>
        <v>Piloto Senior 2</v>
      </c>
      <c r="F502">
        <v>4.3899999999999997</v>
      </c>
      <c r="G502" s="1" t="str" cm="1">
        <f t="array" ref="G502">_xlfn.IFS(D502="Eventos particulares","225",D502="Federaciones y asociaciones deportivas","250",D502="Inspecciones agrícolas","275",D502="Inspecciones técnicas","300")</f>
        <v>300</v>
      </c>
      <c r="H502" s="1">
        <f>VALUE(Tabla1[[#This Row],[Columna1]])</f>
        <v>300</v>
      </c>
      <c r="I502" s="1">
        <f t="shared" si="7"/>
        <v>1317</v>
      </c>
    </row>
    <row r="503" spans="1:9" x14ac:dyDescent="0.2">
      <c r="A503" s="12" t="s">
        <v>201</v>
      </c>
      <c r="B503" s="12">
        <f>DATEVALUE(Tabla1[[#This Row],[Columna2]])</f>
        <v>45654</v>
      </c>
      <c r="C503" t="s">
        <v>285</v>
      </c>
      <c r="D503" t="s">
        <v>4</v>
      </c>
      <c r="E503" t="str" cm="1">
        <f t="array" ref="E503">_xlfn.IFS(D503="Eventos particulares","Piloto Junior 1",D503="Federaciones y asociaciones deportivas","Piloto Junior 2",D503="Inspecciones agrícolas","Piloto Senior 1",D503="Inspecciones técnicas","Piloto Senior 2")</f>
        <v>Piloto Senior 2</v>
      </c>
      <c r="F503">
        <v>12.37</v>
      </c>
      <c r="G503" s="1" t="str" cm="1">
        <f t="array" ref="G503">_xlfn.IFS(D503="Eventos particulares","225",D503="Federaciones y asociaciones deportivas","250",D503="Inspecciones agrícolas","275",D503="Inspecciones técnicas","300")</f>
        <v>300</v>
      </c>
      <c r="H503" s="1">
        <f>VALUE(Tabla1[[#This Row],[Columna1]])</f>
        <v>300</v>
      </c>
      <c r="I503" s="1">
        <f t="shared" si="7"/>
        <v>3710.9999999999995</v>
      </c>
    </row>
    <row r="504" spans="1:9" x14ac:dyDescent="0.2">
      <c r="A504" s="12" t="s">
        <v>201</v>
      </c>
      <c r="B504" s="12">
        <f>DATEVALUE(Tabla1[[#This Row],[Columna2]])</f>
        <v>45654</v>
      </c>
      <c r="C504" t="s">
        <v>286</v>
      </c>
      <c r="D504" t="s">
        <v>12</v>
      </c>
      <c r="E504" t="str" cm="1">
        <f t="array" ref="E504">_xlfn.IFS(D504="Eventos particulares","Piloto Junior 1",D504="Federaciones y asociaciones deportivas","Piloto Junior 2",D504="Inspecciones agrícolas","Piloto Senior 1",D504="Inspecciones técnicas","Piloto Senior 2")</f>
        <v>Piloto Junior 1</v>
      </c>
      <c r="F504">
        <v>8.07</v>
      </c>
      <c r="G504" s="1" t="str" cm="1">
        <f t="array" ref="G504">_xlfn.IFS(D504="Eventos particulares","225",D504="Federaciones y asociaciones deportivas","250",D504="Inspecciones agrícolas","275",D504="Inspecciones técnicas","300")</f>
        <v>225</v>
      </c>
      <c r="H504" s="1">
        <f>VALUE(Tabla1[[#This Row],[Columna1]])</f>
        <v>225</v>
      </c>
      <c r="I504" s="1">
        <f t="shared" si="7"/>
        <v>1815.75</v>
      </c>
    </row>
    <row r="505" spans="1:9" x14ac:dyDescent="0.2">
      <c r="A505" s="12" t="s">
        <v>201</v>
      </c>
      <c r="B505" s="12">
        <f>DATEVALUE(Tabla1[[#This Row],[Columna2]])</f>
        <v>45654</v>
      </c>
      <c r="C505" t="s">
        <v>287</v>
      </c>
      <c r="D505" t="s">
        <v>12</v>
      </c>
      <c r="E505" t="str" cm="1">
        <f t="array" ref="E505">_xlfn.IFS(D505="Eventos particulares","Piloto Junior 1",D505="Federaciones y asociaciones deportivas","Piloto Junior 2",D505="Inspecciones agrícolas","Piloto Senior 1",D505="Inspecciones técnicas","Piloto Senior 2")</f>
        <v>Piloto Junior 1</v>
      </c>
      <c r="F505">
        <v>12.1</v>
      </c>
      <c r="G505" s="1" t="str" cm="1">
        <f t="array" ref="G505">_xlfn.IFS(D505="Eventos particulares","225",D505="Federaciones y asociaciones deportivas","250",D505="Inspecciones agrícolas","275",D505="Inspecciones técnicas","300")</f>
        <v>225</v>
      </c>
      <c r="H505" s="1">
        <f>VALUE(Tabla1[[#This Row],[Columna1]])</f>
        <v>225</v>
      </c>
      <c r="I505" s="1">
        <f t="shared" si="7"/>
        <v>2722.5</v>
      </c>
    </row>
    <row r="506" spans="1:9" x14ac:dyDescent="0.2">
      <c r="A506" s="12" t="s">
        <v>234</v>
      </c>
      <c r="B506" s="12">
        <f>DATEVALUE(Tabla1[[#This Row],[Columna2]])</f>
        <v>45656</v>
      </c>
      <c r="C506" t="s">
        <v>286</v>
      </c>
      <c r="D506" t="s">
        <v>4</v>
      </c>
      <c r="E506" t="str" cm="1">
        <f t="array" ref="E506">_xlfn.IFS(D506="Eventos particulares","Piloto Junior 1",D506="Federaciones y asociaciones deportivas","Piloto Junior 2",D506="Inspecciones agrícolas","Piloto Senior 1",D506="Inspecciones técnicas","Piloto Senior 2")</f>
        <v>Piloto Senior 2</v>
      </c>
      <c r="F506">
        <v>13.25</v>
      </c>
      <c r="G506" s="1" t="str" cm="1">
        <f t="array" ref="G506">_xlfn.IFS(D506="Eventos particulares","225",D506="Federaciones y asociaciones deportivas","250",D506="Inspecciones agrícolas","275",D506="Inspecciones técnicas","300")</f>
        <v>300</v>
      </c>
      <c r="H506" s="1">
        <f>VALUE(Tabla1[[#This Row],[Columna1]])</f>
        <v>300</v>
      </c>
      <c r="I506" s="1">
        <f t="shared" si="7"/>
        <v>3975</v>
      </c>
    </row>
    <row r="507" spans="1:9" x14ac:dyDescent="0.2">
      <c r="A507" s="12" t="s">
        <v>234</v>
      </c>
      <c r="B507" s="12">
        <f>DATEVALUE(Tabla1[[#This Row],[Columna2]])</f>
        <v>45656</v>
      </c>
      <c r="C507" t="s">
        <v>286</v>
      </c>
      <c r="D507" t="s">
        <v>4</v>
      </c>
      <c r="E507" t="str" cm="1">
        <f t="array" ref="E507">_xlfn.IFS(D507="Eventos particulares","Piloto Junior 1",D507="Federaciones y asociaciones deportivas","Piloto Junior 2",D507="Inspecciones agrícolas","Piloto Senior 1",D507="Inspecciones técnicas","Piloto Senior 2")</f>
        <v>Piloto Senior 2</v>
      </c>
      <c r="F507">
        <v>15.87</v>
      </c>
      <c r="G507" s="1" t="str" cm="1">
        <f t="array" ref="G507">_xlfn.IFS(D507="Eventos particulares","225",D507="Federaciones y asociaciones deportivas","250",D507="Inspecciones agrícolas","275",D507="Inspecciones técnicas","300")</f>
        <v>300</v>
      </c>
      <c r="H507" s="1">
        <f>VALUE(Tabla1[[#This Row],[Columna1]])</f>
        <v>300</v>
      </c>
      <c r="I507" s="1">
        <f t="shared" si="7"/>
        <v>4761</v>
      </c>
    </row>
    <row r="508" spans="1:9" x14ac:dyDescent="0.2">
      <c r="A508" s="12" t="s">
        <v>234</v>
      </c>
      <c r="B508" s="12">
        <f>DATEVALUE(Tabla1[[#This Row],[Columna2]])</f>
        <v>45656</v>
      </c>
      <c r="C508" t="s">
        <v>287</v>
      </c>
      <c r="D508" t="s">
        <v>6</v>
      </c>
      <c r="E508" t="str" cm="1">
        <f t="array" ref="E508">_xlfn.IFS(D508="Eventos particulares","Piloto Junior 1",D508="Federaciones y asociaciones deportivas","Piloto Junior 2",D508="Inspecciones agrícolas","Piloto Senior 1",D508="Inspecciones técnicas","Piloto Senior 2")</f>
        <v>Piloto Junior 2</v>
      </c>
      <c r="F508">
        <v>8.36</v>
      </c>
      <c r="G508" s="1" t="str" cm="1">
        <f t="array" ref="G508">_xlfn.IFS(D508="Eventos particulares","225",D508="Federaciones y asociaciones deportivas","250",D508="Inspecciones agrícolas","275",D508="Inspecciones técnicas","300")</f>
        <v>250</v>
      </c>
      <c r="H508" s="1">
        <f>VALUE(Tabla1[[#This Row],[Columna1]])</f>
        <v>250</v>
      </c>
      <c r="I508" s="1">
        <f t="shared" si="7"/>
        <v>2090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B066-C55B-48B3-ABA8-5E85B6913785}">
  <sheetPr>
    <tabColor theme="5" tint="0.79998168889431442"/>
  </sheetPr>
  <dimension ref="B1:C17"/>
  <sheetViews>
    <sheetView workbookViewId="0"/>
  </sheetViews>
  <sheetFormatPr baseColWidth="10" defaultRowHeight="14.25" x14ac:dyDescent="0.2"/>
  <cols>
    <col min="2" max="2" width="22.25" bestFit="1" customWidth="1"/>
    <col min="3" max="3" width="12.5" bestFit="1" customWidth="1"/>
  </cols>
  <sheetData>
    <row r="1" spans="2:3" ht="15" thickBot="1" x14ac:dyDescent="0.25"/>
    <row r="2" spans="2:3" x14ac:dyDescent="0.2">
      <c r="B2" s="33" t="s">
        <v>281</v>
      </c>
      <c r="C2" s="33"/>
    </row>
    <row r="4" spans="2:3" ht="15" x14ac:dyDescent="0.25">
      <c r="B4" s="8" t="s">
        <v>288</v>
      </c>
      <c r="C4" s="8">
        <v>2734.8397435897436</v>
      </c>
    </row>
    <row r="5" spans="2:3" x14ac:dyDescent="0.2">
      <c r="B5" t="s">
        <v>289</v>
      </c>
      <c r="C5">
        <v>44.126226342479583</v>
      </c>
    </row>
    <row r="6" spans="2:3" ht="15" x14ac:dyDescent="0.25">
      <c r="B6" s="8" t="s">
        <v>290</v>
      </c>
      <c r="C6" s="8">
        <v>2713.5</v>
      </c>
    </row>
    <row r="7" spans="2:3" ht="15" x14ac:dyDescent="0.25">
      <c r="B7" s="8" t="s">
        <v>291</v>
      </c>
      <c r="C7" s="8">
        <v>3825</v>
      </c>
    </row>
    <row r="8" spans="2:3" x14ac:dyDescent="0.2">
      <c r="B8" t="s">
        <v>292</v>
      </c>
      <c r="C8">
        <v>993.57525762896466</v>
      </c>
    </row>
    <row r="9" spans="2:3" x14ac:dyDescent="0.2">
      <c r="B9" t="s">
        <v>293</v>
      </c>
      <c r="C9">
        <v>987191.7925724634</v>
      </c>
    </row>
    <row r="10" spans="2:3" x14ac:dyDescent="0.2">
      <c r="B10" t="s">
        <v>294</v>
      </c>
      <c r="C10">
        <v>-0.96059367207746593</v>
      </c>
    </row>
    <row r="11" spans="2:3" x14ac:dyDescent="0.2">
      <c r="B11" t="s">
        <v>295</v>
      </c>
      <c r="C11">
        <v>0.15780194537566017</v>
      </c>
    </row>
    <row r="12" spans="2:3" ht="15" x14ac:dyDescent="0.25">
      <c r="B12" s="8" t="s">
        <v>296</v>
      </c>
      <c r="C12" s="8">
        <v>3845.25</v>
      </c>
    </row>
    <row r="13" spans="2:3" ht="15" x14ac:dyDescent="0.25">
      <c r="B13" s="8" t="s">
        <v>297</v>
      </c>
      <c r="C13" s="8">
        <v>951.75000000000011</v>
      </c>
    </row>
    <row r="14" spans="2:3" ht="15" x14ac:dyDescent="0.25">
      <c r="B14" s="8" t="s">
        <v>298</v>
      </c>
      <c r="C14" s="8">
        <v>4797</v>
      </c>
    </row>
    <row r="15" spans="2:3" ht="15" x14ac:dyDescent="0.25">
      <c r="B15" s="8" t="s">
        <v>299</v>
      </c>
      <c r="C15" s="8">
        <v>1386563.75</v>
      </c>
    </row>
    <row r="16" spans="2:3" ht="15" x14ac:dyDescent="0.25">
      <c r="B16" s="8" t="s">
        <v>300</v>
      </c>
      <c r="C16" s="8">
        <v>507</v>
      </c>
    </row>
    <row r="17" spans="2:3" ht="15" thickBot="1" x14ac:dyDescent="0.25">
      <c r="B17" s="7" t="s">
        <v>301</v>
      </c>
      <c r="C17" s="7">
        <v>86.69317795638743</v>
      </c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8B2A-0EBD-4FCB-8264-9726D9D65BCD}">
  <sheetPr>
    <tabColor theme="5" tint="0.79998168889431442"/>
  </sheetPr>
  <dimension ref="B2:C6"/>
  <sheetViews>
    <sheetView workbookViewId="0"/>
  </sheetViews>
  <sheetFormatPr baseColWidth="10" defaultRowHeight="14.25" x14ac:dyDescent="0.2"/>
  <cols>
    <col min="2" max="2" width="34" bestFit="1" customWidth="1"/>
    <col min="3" max="3" width="9.5" bestFit="1" customWidth="1"/>
  </cols>
  <sheetData>
    <row r="2" spans="2:3" ht="15" x14ac:dyDescent="0.25">
      <c r="B2" s="3" t="s">
        <v>1</v>
      </c>
      <c r="C2" s="3" t="s">
        <v>302</v>
      </c>
    </row>
    <row r="3" spans="2:3" x14ac:dyDescent="0.2">
      <c r="B3" s="5" t="s">
        <v>12</v>
      </c>
      <c r="C3" s="9">
        <f>(COUNTIF(Tabla1[Segmento de cliente],'Dist operaciones por segmento'!B3))/'Estadística Descriptiva 1'!$C$16</f>
        <v>0.28007889546351084</v>
      </c>
    </row>
    <row r="4" spans="2:3" x14ac:dyDescent="0.2">
      <c r="B4" s="5" t="s">
        <v>6</v>
      </c>
      <c r="C4" s="9">
        <f>(COUNTIF(Tabla1[Segmento de cliente],'Dist operaciones por segmento'!B4))/'Estadística Descriptiva 1'!$C$16</f>
        <v>0.11834319526627218</v>
      </c>
    </row>
    <row r="5" spans="2:3" x14ac:dyDescent="0.2">
      <c r="B5" s="5" t="s">
        <v>17</v>
      </c>
      <c r="C5" s="9">
        <f>(COUNTIF(Tabla1[Segmento de cliente],'Dist operaciones por segmento'!B5))/'Estadística Descriptiva 1'!$C$16</f>
        <v>0.18343195266272189</v>
      </c>
    </row>
    <row r="6" spans="2:3" x14ac:dyDescent="0.2">
      <c r="B6" s="5" t="s">
        <v>4</v>
      </c>
      <c r="C6" s="9">
        <f>(COUNTIF(Tabla1[Segmento de cliente],'Dist operaciones por segmento'!B6))/'Estadística Descriptiva 1'!$C$16</f>
        <v>0.4181459566074951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2049-18F1-4E88-90A4-46DA2E3BF70D}">
  <sheetPr>
    <tabColor theme="5" tint="0.79998168889431442"/>
  </sheetPr>
  <dimension ref="A3:B7"/>
  <sheetViews>
    <sheetView workbookViewId="0"/>
  </sheetViews>
  <sheetFormatPr baseColWidth="10" defaultRowHeight="14.25" x14ac:dyDescent="0.2"/>
  <cols>
    <col min="1" max="1" width="34" bestFit="1" customWidth="1"/>
    <col min="2" max="2" width="32.5" bestFit="1" customWidth="1"/>
    <col min="3" max="3" width="7.875" bestFit="1" customWidth="1"/>
    <col min="4" max="465" width="9.375" bestFit="1" customWidth="1"/>
    <col min="466" max="466" width="12.625" bestFit="1" customWidth="1"/>
  </cols>
  <sheetData>
    <row r="3" spans="1:2" x14ac:dyDescent="0.2">
      <c r="B3" t="s">
        <v>303</v>
      </c>
    </row>
    <row r="4" spans="1:2" x14ac:dyDescent="0.2">
      <c r="A4" s="10" t="s">
        <v>12</v>
      </c>
      <c r="B4" s="11">
        <v>0.24253771238430255</v>
      </c>
    </row>
    <row r="5" spans="1:2" x14ac:dyDescent="0.2">
      <c r="A5" s="10" t="s">
        <v>6</v>
      </c>
      <c r="B5" s="11">
        <v>0.10328771396194369</v>
      </c>
    </row>
    <row r="6" spans="1:2" x14ac:dyDescent="0.2">
      <c r="A6" s="10" t="s">
        <v>17</v>
      </c>
      <c r="B6" s="11">
        <v>0.19633482412907449</v>
      </c>
    </row>
    <row r="7" spans="1:2" x14ac:dyDescent="0.2">
      <c r="A7" s="10" t="s">
        <v>4</v>
      </c>
      <c r="B7" s="11">
        <v>0.45783974952467926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756B-6987-493C-A489-C284DD2D6F89}">
  <sheetPr>
    <tabColor theme="5" tint="0.59999389629810485"/>
  </sheetPr>
  <dimension ref="A1:G143"/>
  <sheetViews>
    <sheetView workbookViewId="0"/>
  </sheetViews>
  <sheetFormatPr baseColWidth="10" defaultRowHeight="14.25" x14ac:dyDescent="0.2"/>
  <cols>
    <col min="1" max="1" width="20.5" bestFit="1" customWidth="1"/>
    <col min="2" max="2" width="19.875" bestFit="1" customWidth="1"/>
    <col min="3" max="3" width="19.25" bestFit="1" customWidth="1"/>
    <col min="4" max="4" width="30.125" bestFit="1" customWidth="1"/>
    <col min="5" max="5" width="15.5" bestFit="1" customWidth="1"/>
    <col min="6" max="6" width="24.25" bestFit="1" customWidth="1"/>
    <col min="7" max="7" width="24.125" bestFit="1" customWidth="1"/>
  </cols>
  <sheetData>
    <row r="1" spans="1:7" ht="15" x14ac:dyDescent="0.25">
      <c r="A1" s="2" t="s">
        <v>0</v>
      </c>
      <c r="B1" s="3" t="s">
        <v>283</v>
      </c>
      <c r="C1" s="3" t="s">
        <v>1</v>
      </c>
      <c r="D1" s="3" t="s">
        <v>282</v>
      </c>
      <c r="E1" s="3" t="s">
        <v>2</v>
      </c>
      <c r="F1" s="3" t="s">
        <v>280</v>
      </c>
      <c r="G1" s="4" t="s">
        <v>281</v>
      </c>
    </row>
    <row r="2" spans="1:7" x14ac:dyDescent="0.2">
      <c r="A2" s="13">
        <v>45295</v>
      </c>
      <c r="B2" s="5" t="s">
        <v>284</v>
      </c>
      <c r="C2" s="5" t="s">
        <v>12</v>
      </c>
      <c r="D2" s="5" t="s">
        <v>306</v>
      </c>
      <c r="E2" s="5">
        <v>10.67</v>
      </c>
      <c r="F2" s="14">
        <v>225</v>
      </c>
      <c r="G2" s="15">
        <v>2400.75</v>
      </c>
    </row>
    <row r="3" spans="1:7" x14ac:dyDescent="0.2">
      <c r="A3" s="13">
        <v>45296</v>
      </c>
      <c r="B3" s="5" t="s">
        <v>287</v>
      </c>
      <c r="C3" s="5" t="s">
        <v>12</v>
      </c>
      <c r="D3" s="5" t="s">
        <v>306</v>
      </c>
      <c r="E3" s="5">
        <v>15.27</v>
      </c>
      <c r="F3" s="14">
        <v>225</v>
      </c>
      <c r="G3" s="15">
        <v>3435.75</v>
      </c>
    </row>
    <row r="4" spans="1:7" x14ac:dyDescent="0.2">
      <c r="A4" s="13">
        <v>45298</v>
      </c>
      <c r="B4" s="5" t="s">
        <v>285</v>
      </c>
      <c r="C4" s="5" t="s">
        <v>12</v>
      </c>
      <c r="D4" s="5" t="s">
        <v>306</v>
      </c>
      <c r="E4" s="5">
        <v>10.62</v>
      </c>
      <c r="F4" s="14">
        <v>225</v>
      </c>
      <c r="G4" s="15">
        <v>2389.5</v>
      </c>
    </row>
    <row r="5" spans="1:7" x14ac:dyDescent="0.2">
      <c r="A5" s="13">
        <v>45302</v>
      </c>
      <c r="B5" s="5" t="s">
        <v>284</v>
      </c>
      <c r="C5" s="5" t="s">
        <v>12</v>
      </c>
      <c r="D5" s="5" t="s">
        <v>306</v>
      </c>
      <c r="E5" s="5">
        <v>14.95</v>
      </c>
      <c r="F5" s="14">
        <v>225</v>
      </c>
      <c r="G5" s="15">
        <v>3363.75</v>
      </c>
    </row>
    <row r="6" spans="1:7" x14ac:dyDescent="0.2">
      <c r="A6" s="13">
        <v>45304</v>
      </c>
      <c r="B6" s="5" t="s">
        <v>285</v>
      </c>
      <c r="C6" s="5" t="s">
        <v>12</v>
      </c>
      <c r="D6" s="5" t="s">
        <v>306</v>
      </c>
      <c r="E6" s="5">
        <v>12.15</v>
      </c>
      <c r="F6" s="14">
        <v>225</v>
      </c>
      <c r="G6" s="15">
        <v>2733.75</v>
      </c>
    </row>
    <row r="7" spans="1:7" x14ac:dyDescent="0.2">
      <c r="A7" s="13">
        <v>45305</v>
      </c>
      <c r="B7" s="5" t="s">
        <v>287</v>
      </c>
      <c r="C7" s="5" t="s">
        <v>12</v>
      </c>
      <c r="D7" s="5" t="s">
        <v>306</v>
      </c>
      <c r="E7" s="5">
        <v>5.34</v>
      </c>
      <c r="F7" s="14">
        <v>225</v>
      </c>
      <c r="G7" s="15">
        <v>1201.5</v>
      </c>
    </row>
    <row r="8" spans="1:7" x14ac:dyDescent="0.2">
      <c r="A8" s="13">
        <v>45306</v>
      </c>
      <c r="B8" s="5" t="s">
        <v>287</v>
      </c>
      <c r="C8" s="5" t="s">
        <v>12</v>
      </c>
      <c r="D8" s="5" t="s">
        <v>306</v>
      </c>
      <c r="E8" s="5">
        <v>12.94</v>
      </c>
      <c r="F8" s="14">
        <v>225</v>
      </c>
      <c r="G8" s="15">
        <v>2911.5</v>
      </c>
    </row>
    <row r="9" spans="1:7" x14ac:dyDescent="0.2">
      <c r="A9" s="13">
        <v>45311</v>
      </c>
      <c r="B9" s="5" t="s">
        <v>286</v>
      </c>
      <c r="C9" s="5" t="s">
        <v>12</v>
      </c>
      <c r="D9" s="5" t="s">
        <v>306</v>
      </c>
      <c r="E9" s="5">
        <v>9.1999999999999993</v>
      </c>
      <c r="F9" s="14">
        <v>225</v>
      </c>
      <c r="G9" s="15">
        <v>2070</v>
      </c>
    </row>
    <row r="10" spans="1:7" x14ac:dyDescent="0.2">
      <c r="A10" s="13">
        <v>45314</v>
      </c>
      <c r="B10" s="5" t="s">
        <v>285</v>
      </c>
      <c r="C10" s="5" t="s">
        <v>12</v>
      </c>
      <c r="D10" s="5" t="s">
        <v>306</v>
      </c>
      <c r="E10" s="5">
        <v>15.6</v>
      </c>
      <c r="F10" s="14">
        <v>225</v>
      </c>
      <c r="G10" s="15">
        <v>3510</v>
      </c>
    </row>
    <row r="11" spans="1:7" x14ac:dyDescent="0.2">
      <c r="A11" s="13">
        <v>45316</v>
      </c>
      <c r="B11" s="5" t="s">
        <v>284</v>
      </c>
      <c r="C11" s="5" t="s">
        <v>12</v>
      </c>
      <c r="D11" s="5" t="s">
        <v>306</v>
      </c>
      <c r="E11" s="5">
        <v>9.23</v>
      </c>
      <c r="F11" s="14">
        <v>225</v>
      </c>
      <c r="G11" s="15">
        <v>2076.75</v>
      </c>
    </row>
    <row r="12" spans="1:7" x14ac:dyDescent="0.2">
      <c r="A12" s="13">
        <v>45321</v>
      </c>
      <c r="B12" s="5" t="s">
        <v>284</v>
      </c>
      <c r="C12" s="5" t="s">
        <v>12</v>
      </c>
      <c r="D12" s="5" t="s">
        <v>306</v>
      </c>
      <c r="E12" s="5">
        <v>8.49</v>
      </c>
      <c r="F12" s="14">
        <v>225</v>
      </c>
      <c r="G12" s="15">
        <v>1910.25</v>
      </c>
    </row>
    <row r="13" spans="1:7" x14ac:dyDescent="0.2">
      <c r="A13" s="13">
        <v>45324</v>
      </c>
      <c r="B13" s="5" t="s">
        <v>286</v>
      </c>
      <c r="C13" s="5" t="s">
        <v>12</v>
      </c>
      <c r="D13" s="5" t="s">
        <v>306</v>
      </c>
      <c r="E13" s="5">
        <v>11.55</v>
      </c>
      <c r="F13" s="14">
        <v>225</v>
      </c>
      <c r="G13" s="15">
        <v>2598.75</v>
      </c>
    </row>
    <row r="14" spans="1:7" x14ac:dyDescent="0.2">
      <c r="A14" s="13">
        <v>45326</v>
      </c>
      <c r="B14" s="5" t="s">
        <v>284</v>
      </c>
      <c r="C14" s="5" t="s">
        <v>12</v>
      </c>
      <c r="D14" s="5" t="s">
        <v>306</v>
      </c>
      <c r="E14" s="5">
        <v>12.19</v>
      </c>
      <c r="F14" s="14">
        <v>225</v>
      </c>
      <c r="G14" s="15">
        <v>2742.75</v>
      </c>
    </row>
    <row r="15" spans="1:7" x14ac:dyDescent="0.2">
      <c r="A15" s="13">
        <v>45327</v>
      </c>
      <c r="B15" s="5" t="s">
        <v>284</v>
      </c>
      <c r="C15" s="5" t="s">
        <v>12</v>
      </c>
      <c r="D15" s="5" t="s">
        <v>306</v>
      </c>
      <c r="E15" s="5">
        <v>9.6300000000000008</v>
      </c>
      <c r="F15" s="14">
        <v>225</v>
      </c>
      <c r="G15" s="15">
        <v>2166.75</v>
      </c>
    </row>
    <row r="16" spans="1:7" x14ac:dyDescent="0.2">
      <c r="A16" s="13">
        <v>45327</v>
      </c>
      <c r="B16" s="5" t="s">
        <v>284</v>
      </c>
      <c r="C16" s="5" t="s">
        <v>12</v>
      </c>
      <c r="D16" s="5" t="s">
        <v>306</v>
      </c>
      <c r="E16" s="5">
        <v>6.53</v>
      </c>
      <c r="F16" s="14">
        <v>225</v>
      </c>
      <c r="G16" s="15">
        <v>1469.25</v>
      </c>
    </row>
    <row r="17" spans="1:7" x14ac:dyDescent="0.2">
      <c r="A17" s="13">
        <v>45330</v>
      </c>
      <c r="B17" s="5" t="s">
        <v>284</v>
      </c>
      <c r="C17" s="5" t="s">
        <v>12</v>
      </c>
      <c r="D17" s="5" t="s">
        <v>306</v>
      </c>
      <c r="E17" s="5">
        <v>11.02</v>
      </c>
      <c r="F17" s="14">
        <v>225</v>
      </c>
      <c r="G17" s="15">
        <v>2479.5</v>
      </c>
    </row>
    <row r="18" spans="1:7" x14ac:dyDescent="0.2">
      <c r="A18" s="13">
        <v>45332</v>
      </c>
      <c r="B18" s="5" t="s">
        <v>285</v>
      </c>
      <c r="C18" s="5" t="s">
        <v>12</v>
      </c>
      <c r="D18" s="5" t="s">
        <v>306</v>
      </c>
      <c r="E18" s="5">
        <v>11</v>
      </c>
      <c r="F18" s="14">
        <v>225</v>
      </c>
      <c r="G18" s="15">
        <v>2475</v>
      </c>
    </row>
    <row r="19" spans="1:7" x14ac:dyDescent="0.2">
      <c r="A19" s="13">
        <v>45333</v>
      </c>
      <c r="B19" s="5" t="s">
        <v>284</v>
      </c>
      <c r="C19" s="5" t="s">
        <v>12</v>
      </c>
      <c r="D19" s="5" t="s">
        <v>306</v>
      </c>
      <c r="E19" s="5">
        <v>5.77</v>
      </c>
      <c r="F19" s="14">
        <v>225</v>
      </c>
      <c r="G19" s="15">
        <v>1298.25</v>
      </c>
    </row>
    <row r="20" spans="1:7" x14ac:dyDescent="0.2">
      <c r="A20" s="13">
        <v>45335</v>
      </c>
      <c r="B20" s="5" t="s">
        <v>286</v>
      </c>
      <c r="C20" s="5" t="s">
        <v>12</v>
      </c>
      <c r="D20" s="5" t="s">
        <v>306</v>
      </c>
      <c r="E20" s="5">
        <v>7.69</v>
      </c>
      <c r="F20" s="14">
        <v>225</v>
      </c>
      <c r="G20" s="15">
        <v>1730.25</v>
      </c>
    </row>
    <row r="21" spans="1:7" x14ac:dyDescent="0.2">
      <c r="A21" s="13">
        <v>45340</v>
      </c>
      <c r="B21" s="5" t="s">
        <v>285</v>
      </c>
      <c r="C21" s="5" t="s">
        <v>12</v>
      </c>
      <c r="D21" s="5" t="s">
        <v>306</v>
      </c>
      <c r="E21" s="5">
        <v>9.9499999999999993</v>
      </c>
      <c r="F21" s="14">
        <v>225</v>
      </c>
      <c r="G21" s="15">
        <v>2238.75</v>
      </c>
    </row>
    <row r="22" spans="1:7" x14ac:dyDescent="0.2">
      <c r="A22" s="13">
        <v>45340</v>
      </c>
      <c r="B22" s="5" t="s">
        <v>287</v>
      </c>
      <c r="C22" s="5" t="s">
        <v>12</v>
      </c>
      <c r="D22" s="5" t="s">
        <v>306</v>
      </c>
      <c r="E22" s="5">
        <v>6.77</v>
      </c>
      <c r="F22" s="14">
        <v>225</v>
      </c>
      <c r="G22" s="15">
        <v>1523.25</v>
      </c>
    </row>
    <row r="23" spans="1:7" x14ac:dyDescent="0.2">
      <c r="A23" s="13">
        <v>45342</v>
      </c>
      <c r="B23" s="5" t="s">
        <v>284</v>
      </c>
      <c r="C23" s="5" t="s">
        <v>12</v>
      </c>
      <c r="D23" s="5" t="s">
        <v>306</v>
      </c>
      <c r="E23" s="5">
        <v>5.99</v>
      </c>
      <c r="F23" s="14">
        <v>225</v>
      </c>
      <c r="G23" s="15">
        <v>1347.75</v>
      </c>
    </row>
    <row r="24" spans="1:7" x14ac:dyDescent="0.2">
      <c r="A24" s="13">
        <v>45342</v>
      </c>
      <c r="B24" s="5" t="s">
        <v>287</v>
      </c>
      <c r="C24" s="5" t="s">
        <v>12</v>
      </c>
      <c r="D24" s="5" t="s">
        <v>306</v>
      </c>
      <c r="E24" s="5">
        <v>6.52</v>
      </c>
      <c r="F24" s="14">
        <v>225</v>
      </c>
      <c r="G24" s="15">
        <v>1467</v>
      </c>
    </row>
    <row r="25" spans="1:7" x14ac:dyDescent="0.2">
      <c r="A25" s="13">
        <v>45344</v>
      </c>
      <c r="B25" s="5" t="s">
        <v>285</v>
      </c>
      <c r="C25" s="5" t="s">
        <v>12</v>
      </c>
      <c r="D25" s="5" t="s">
        <v>306</v>
      </c>
      <c r="E25" s="5">
        <v>8.59</v>
      </c>
      <c r="F25" s="14">
        <v>225</v>
      </c>
      <c r="G25" s="15">
        <v>1932.75</v>
      </c>
    </row>
    <row r="26" spans="1:7" x14ac:dyDescent="0.2">
      <c r="A26" s="13">
        <v>45352</v>
      </c>
      <c r="B26" s="5" t="s">
        <v>286</v>
      </c>
      <c r="C26" s="5" t="s">
        <v>12</v>
      </c>
      <c r="D26" s="5" t="s">
        <v>306</v>
      </c>
      <c r="E26" s="5">
        <v>15.04</v>
      </c>
      <c r="F26" s="14">
        <v>225</v>
      </c>
      <c r="G26" s="15">
        <v>3384</v>
      </c>
    </row>
    <row r="27" spans="1:7" x14ac:dyDescent="0.2">
      <c r="A27" s="13">
        <v>45352</v>
      </c>
      <c r="B27" s="5" t="s">
        <v>287</v>
      </c>
      <c r="C27" s="5" t="s">
        <v>12</v>
      </c>
      <c r="D27" s="5" t="s">
        <v>306</v>
      </c>
      <c r="E27" s="5">
        <v>9.86</v>
      </c>
      <c r="F27" s="14">
        <v>225</v>
      </c>
      <c r="G27" s="15">
        <v>2218.5</v>
      </c>
    </row>
    <row r="28" spans="1:7" x14ac:dyDescent="0.2">
      <c r="A28" s="16">
        <v>45353</v>
      </c>
      <c r="B28" s="5" t="s">
        <v>286</v>
      </c>
      <c r="C28" s="5" t="s">
        <v>12</v>
      </c>
      <c r="D28" s="5" t="s">
        <v>306</v>
      </c>
      <c r="E28" s="5">
        <v>14.54</v>
      </c>
      <c r="F28" s="14">
        <v>225</v>
      </c>
      <c r="G28" s="15">
        <v>3271.5</v>
      </c>
    </row>
    <row r="29" spans="1:7" x14ac:dyDescent="0.2">
      <c r="A29" s="13">
        <v>45362</v>
      </c>
      <c r="B29" s="5" t="s">
        <v>285</v>
      </c>
      <c r="C29" s="5" t="s">
        <v>12</v>
      </c>
      <c r="D29" s="5" t="s">
        <v>306</v>
      </c>
      <c r="E29" s="5">
        <v>8.89</v>
      </c>
      <c r="F29" s="14">
        <v>225</v>
      </c>
      <c r="G29" s="15">
        <v>2000.2500000000002</v>
      </c>
    </row>
    <row r="30" spans="1:7" x14ac:dyDescent="0.2">
      <c r="A30" s="13">
        <v>45365</v>
      </c>
      <c r="B30" s="5" t="s">
        <v>287</v>
      </c>
      <c r="C30" s="5" t="s">
        <v>12</v>
      </c>
      <c r="D30" s="5" t="s">
        <v>306</v>
      </c>
      <c r="E30" s="5">
        <v>15.74</v>
      </c>
      <c r="F30" s="14">
        <v>225</v>
      </c>
      <c r="G30" s="15">
        <v>3541.5</v>
      </c>
    </row>
    <row r="31" spans="1:7" x14ac:dyDescent="0.2">
      <c r="A31" s="13">
        <v>45369</v>
      </c>
      <c r="B31" s="5" t="s">
        <v>284</v>
      </c>
      <c r="C31" s="5" t="s">
        <v>12</v>
      </c>
      <c r="D31" s="5" t="s">
        <v>306</v>
      </c>
      <c r="E31" s="5">
        <v>15.44</v>
      </c>
      <c r="F31" s="14">
        <v>225</v>
      </c>
      <c r="G31" s="15">
        <v>3474</v>
      </c>
    </row>
    <row r="32" spans="1:7" x14ac:dyDescent="0.2">
      <c r="A32" s="13">
        <v>45369</v>
      </c>
      <c r="B32" s="5" t="s">
        <v>287</v>
      </c>
      <c r="C32" s="5" t="s">
        <v>12</v>
      </c>
      <c r="D32" s="5" t="s">
        <v>306</v>
      </c>
      <c r="E32" s="5">
        <v>13.6</v>
      </c>
      <c r="F32" s="14">
        <v>225</v>
      </c>
      <c r="G32" s="15">
        <v>3060</v>
      </c>
    </row>
    <row r="33" spans="1:7" x14ac:dyDescent="0.2">
      <c r="A33" s="13">
        <v>45370</v>
      </c>
      <c r="B33" s="5" t="s">
        <v>286</v>
      </c>
      <c r="C33" s="5" t="s">
        <v>12</v>
      </c>
      <c r="D33" s="5" t="s">
        <v>306</v>
      </c>
      <c r="E33" s="5">
        <v>11.41</v>
      </c>
      <c r="F33" s="14">
        <v>225</v>
      </c>
      <c r="G33" s="15">
        <v>2567.25</v>
      </c>
    </row>
    <row r="34" spans="1:7" x14ac:dyDescent="0.2">
      <c r="A34" s="13">
        <v>45372</v>
      </c>
      <c r="B34" s="5" t="s">
        <v>284</v>
      </c>
      <c r="C34" s="5" t="s">
        <v>12</v>
      </c>
      <c r="D34" s="5" t="s">
        <v>306</v>
      </c>
      <c r="E34" s="5">
        <v>7.14</v>
      </c>
      <c r="F34" s="14">
        <v>225</v>
      </c>
      <c r="G34" s="15">
        <v>1606.5</v>
      </c>
    </row>
    <row r="35" spans="1:7" x14ac:dyDescent="0.2">
      <c r="A35" s="13">
        <v>45378</v>
      </c>
      <c r="B35" s="5" t="s">
        <v>285</v>
      </c>
      <c r="C35" s="5" t="s">
        <v>12</v>
      </c>
      <c r="D35" s="5" t="s">
        <v>306</v>
      </c>
      <c r="E35" s="5">
        <v>10.18</v>
      </c>
      <c r="F35" s="14">
        <v>225</v>
      </c>
      <c r="G35" s="15">
        <v>2290.5</v>
      </c>
    </row>
    <row r="36" spans="1:7" x14ac:dyDescent="0.2">
      <c r="A36" s="13">
        <v>45379</v>
      </c>
      <c r="B36" s="5" t="s">
        <v>284</v>
      </c>
      <c r="C36" s="5" t="s">
        <v>12</v>
      </c>
      <c r="D36" s="5" t="s">
        <v>306</v>
      </c>
      <c r="E36" s="5">
        <v>9.7200000000000006</v>
      </c>
      <c r="F36" s="14">
        <v>225</v>
      </c>
      <c r="G36" s="15">
        <v>2187</v>
      </c>
    </row>
    <row r="37" spans="1:7" x14ac:dyDescent="0.2">
      <c r="A37" s="13">
        <v>45386</v>
      </c>
      <c r="B37" s="5" t="s">
        <v>284</v>
      </c>
      <c r="C37" s="5" t="s">
        <v>12</v>
      </c>
      <c r="D37" s="5" t="s">
        <v>306</v>
      </c>
      <c r="E37" s="5">
        <v>6.45</v>
      </c>
      <c r="F37" s="14">
        <v>225</v>
      </c>
      <c r="G37" s="15">
        <v>1451.25</v>
      </c>
    </row>
    <row r="38" spans="1:7" x14ac:dyDescent="0.2">
      <c r="A38" s="13">
        <v>45386</v>
      </c>
      <c r="B38" s="5" t="s">
        <v>285</v>
      </c>
      <c r="C38" s="5" t="s">
        <v>12</v>
      </c>
      <c r="D38" s="5" t="s">
        <v>306</v>
      </c>
      <c r="E38" s="5">
        <v>13.04</v>
      </c>
      <c r="F38" s="14">
        <v>225</v>
      </c>
      <c r="G38" s="15">
        <v>2934</v>
      </c>
    </row>
    <row r="39" spans="1:7" x14ac:dyDescent="0.2">
      <c r="A39" s="13">
        <v>45391</v>
      </c>
      <c r="B39" s="5" t="s">
        <v>287</v>
      </c>
      <c r="C39" s="5" t="s">
        <v>12</v>
      </c>
      <c r="D39" s="5" t="s">
        <v>306</v>
      </c>
      <c r="E39" s="5">
        <v>4.96</v>
      </c>
      <c r="F39" s="14">
        <v>225</v>
      </c>
      <c r="G39" s="15">
        <v>1116</v>
      </c>
    </row>
    <row r="40" spans="1:7" x14ac:dyDescent="0.2">
      <c r="A40" s="13">
        <v>45393</v>
      </c>
      <c r="B40" s="5" t="s">
        <v>285</v>
      </c>
      <c r="C40" s="5" t="s">
        <v>12</v>
      </c>
      <c r="D40" s="5" t="s">
        <v>306</v>
      </c>
      <c r="E40" s="5">
        <v>5.13</v>
      </c>
      <c r="F40" s="14">
        <v>225</v>
      </c>
      <c r="G40" s="15">
        <v>1154.25</v>
      </c>
    </row>
    <row r="41" spans="1:7" x14ac:dyDescent="0.2">
      <c r="A41" s="13">
        <v>45395</v>
      </c>
      <c r="B41" s="5" t="s">
        <v>284</v>
      </c>
      <c r="C41" s="5" t="s">
        <v>12</v>
      </c>
      <c r="D41" s="5" t="s">
        <v>306</v>
      </c>
      <c r="E41" s="5">
        <v>15.26</v>
      </c>
      <c r="F41" s="14">
        <v>225</v>
      </c>
      <c r="G41" s="15">
        <v>3433.5</v>
      </c>
    </row>
    <row r="42" spans="1:7" x14ac:dyDescent="0.2">
      <c r="A42" s="13">
        <v>45397</v>
      </c>
      <c r="B42" s="5" t="s">
        <v>287</v>
      </c>
      <c r="C42" s="5" t="s">
        <v>12</v>
      </c>
      <c r="D42" s="5" t="s">
        <v>306</v>
      </c>
      <c r="E42" s="5">
        <v>8.0399999999999991</v>
      </c>
      <c r="F42" s="14">
        <v>225</v>
      </c>
      <c r="G42" s="15">
        <v>1808.9999999999998</v>
      </c>
    </row>
    <row r="43" spans="1:7" x14ac:dyDescent="0.2">
      <c r="A43" s="13">
        <v>45398</v>
      </c>
      <c r="B43" s="5" t="s">
        <v>286</v>
      </c>
      <c r="C43" s="5" t="s">
        <v>12</v>
      </c>
      <c r="D43" s="5" t="s">
        <v>306</v>
      </c>
      <c r="E43" s="5">
        <v>14.95</v>
      </c>
      <c r="F43" s="14">
        <v>225</v>
      </c>
      <c r="G43" s="15">
        <v>3363.75</v>
      </c>
    </row>
    <row r="44" spans="1:7" x14ac:dyDescent="0.2">
      <c r="A44" s="13">
        <v>45399</v>
      </c>
      <c r="B44" s="5" t="s">
        <v>286</v>
      </c>
      <c r="C44" s="5" t="s">
        <v>12</v>
      </c>
      <c r="D44" s="5" t="s">
        <v>306</v>
      </c>
      <c r="E44" s="5">
        <v>9.8800000000000008</v>
      </c>
      <c r="F44" s="14">
        <v>225</v>
      </c>
      <c r="G44" s="15">
        <v>2223</v>
      </c>
    </row>
    <row r="45" spans="1:7" x14ac:dyDescent="0.2">
      <c r="A45" s="13">
        <v>45404</v>
      </c>
      <c r="B45" s="5" t="s">
        <v>287</v>
      </c>
      <c r="C45" s="5" t="s">
        <v>12</v>
      </c>
      <c r="D45" s="5" t="s">
        <v>306</v>
      </c>
      <c r="E45" s="5">
        <v>15.24</v>
      </c>
      <c r="F45" s="14">
        <v>225</v>
      </c>
      <c r="G45" s="15">
        <v>3429</v>
      </c>
    </row>
    <row r="46" spans="1:7" x14ac:dyDescent="0.2">
      <c r="A46" s="13">
        <v>45407</v>
      </c>
      <c r="B46" s="5" t="s">
        <v>285</v>
      </c>
      <c r="C46" s="5" t="s">
        <v>12</v>
      </c>
      <c r="D46" s="5" t="s">
        <v>306</v>
      </c>
      <c r="E46" s="5">
        <v>6.44</v>
      </c>
      <c r="F46" s="14">
        <v>225</v>
      </c>
      <c r="G46" s="15">
        <v>1449</v>
      </c>
    </row>
    <row r="47" spans="1:7" x14ac:dyDescent="0.2">
      <c r="A47" s="13">
        <v>45408</v>
      </c>
      <c r="B47" s="5" t="s">
        <v>286</v>
      </c>
      <c r="C47" s="5" t="s">
        <v>12</v>
      </c>
      <c r="D47" s="5" t="s">
        <v>306</v>
      </c>
      <c r="E47" s="5">
        <v>15.9</v>
      </c>
      <c r="F47" s="14">
        <v>225</v>
      </c>
      <c r="G47" s="15">
        <v>3577.5</v>
      </c>
    </row>
    <row r="48" spans="1:7" x14ac:dyDescent="0.2">
      <c r="A48" s="16">
        <v>45408</v>
      </c>
      <c r="B48" s="5" t="s">
        <v>287</v>
      </c>
      <c r="C48" s="5" t="s">
        <v>12</v>
      </c>
      <c r="D48" s="5" t="s">
        <v>306</v>
      </c>
      <c r="E48" s="5">
        <v>15.46</v>
      </c>
      <c r="F48" s="14">
        <v>225</v>
      </c>
      <c r="G48" s="15">
        <v>3478.5</v>
      </c>
    </row>
    <row r="49" spans="1:7" x14ac:dyDescent="0.2">
      <c r="A49" s="13">
        <v>45411</v>
      </c>
      <c r="B49" s="5" t="s">
        <v>284</v>
      </c>
      <c r="C49" s="5" t="s">
        <v>12</v>
      </c>
      <c r="D49" s="5" t="s">
        <v>306</v>
      </c>
      <c r="E49" s="5">
        <v>12.52</v>
      </c>
      <c r="F49" s="14">
        <v>225</v>
      </c>
      <c r="G49" s="15">
        <v>2817</v>
      </c>
    </row>
    <row r="50" spans="1:7" x14ac:dyDescent="0.2">
      <c r="A50" s="13">
        <v>45413</v>
      </c>
      <c r="B50" s="5" t="s">
        <v>286</v>
      </c>
      <c r="C50" s="5" t="s">
        <v>12</v>
      </c>
      <c r="D50" s="5" t="s">
        <v>306</v>
      </c>
      <c r="E50" s="5">
        <v>4.2300000000000004</v>
      </c>
      <c r="F50" s="14">
        <v>225</v>
      </c>
      <c r="G50" s="15">
        <v>951.75000000000011</v>
      </c>
    </row>
    <row r="51" spans="1:7" x14ac:dyDescent="0.2">
      <c r="A51" s="13">
        <v>45414</v>
      </c>
      <c r="B51" s="5" t="s">
        <v>286</v>
      </c>
      <c r="C51" s="5" t="s">
        <v>12</v>
      </c>
      <c r="D51" s="5" t="s">
        <v>306</v>
      </c>
      <c r="E51" s="5">
        <v>7.77</v>
      </c>
      <c r="F51" s="14">
        <v>225</v>
      </c>
      <c r="G51" s="15">
        <v>1748.25</v>
      </c>
    </row>
    <row r="52" spans="1:7" x14ac:dyDescent="0.2">
      <c r="A52" s="13">
        <v>45415</v>
      </c>
      <c r="B52" s="5" t="s">
        <v>287</v>
      </c>
      <c r="C52" s="5" t="s">
        <v>12</v>
      </c>
      <c r="D52" s="5" t="s">
        <v>306</v>
      </c>
      <c r="E52" s="5">
        <v>12.16</v>
      </c>
      <c r="F52" s="14">
        <v>225</v>
      </c>
      <c r="G52" s="15">
        <v>2736</v>
      </c>
    </row>
    <row r="53" spans="1:7" x14ac:dyDescent="0.2">
      <c r="A53" s="13">
        <v>45416</v>
      </c>
      <c r="B53" s="5" t="s">
        <v>285</v>
      </c>
      <c r="C53" s="5" t="s">
        <v>12</v>
      </c>
      <c r="D53" s="5" t="s">
        <v>306</v>
      </c>
      <c r="E53" s="5">
        <v>11.8</v>
      </c>
      <c r="F53" s="14">
        <v>225</v>
      </c>
      <c r="G53" s="15">
        <v>2655</v>
      </c>
    </row>
    <row r="54" spans="1:7" x14ac:dyDescent="0.2">
      <c r="A54" s="16">
        <v>45416</v>
      </c>
      <c r="B54" s="5" t="s">
        <v>287</v>
      </c>
      <c r="C54" s="5" t="s">
        <v>12</v>
      </c>
      <c r="D54" s="5" t="s">
        <v>306</v>
      </c>
      <c r="E54" s="5">
        <v>9.3699999999999992</v>
      </c>
      <c r="F54" s="14">
        <v>225</v>
      </c>
      <c r="G54" s="15">
        <v>2108.25</v>
      </c>
    </row>
    <row r="55" spans="1:7" x14ac:dyDescent="0.2">
      <c r="A55" s="13">
        <v>45418</v>
      </c>
      <c r="B55" s="5" t="s">
        <v>287</v>
      </c>
      <c r="C55" s="5" t="s">
        <v>12</v>
      </c>
      <c r="D55" s="5" t="s">
        <v>306</v>
      </c>
      <c r="E55" s="5">
        <v>13.03</v>
      </c>
      <c r="F55" s="14">
        <v>225</v>
      </c>
      <c r="G55" s="15">
        <v>2931.75</v>
      </c>
    </row>
    <row r="56" spans="1:7" x14ac:dyDescent="0.2">
      <c r="A56" s="13">
        <v>45421</v>
      </c>
      <c r="B56" s="5" t="s">
        <v>286</v>
      </c>
      <c r="C56" s="5" t="s">
        <v>12</v>
      </c>
      <c r="D56" s="5" t="s">
        <v>306</v>
      </c>
      <c r="E56" s="5">
        <v>5.22</v>
      </c>
      <c r="F56" s="14">
        <v>225</v>
      </c>
      <c r="G56" s="15">
        <v>1174.5</v>
      </c>
    </row>
    <row r="57" spans="1:7" x14ac:dyDescent="0.2">
      <c r="A57" s="13">
        <v>45422</v>
      </c>
      <c r="B57" s="5" t="s">
        <v>284</v>
      </c>
      <c r="C57" s="5" t="s">
        <v>12</v>
      </c>
      <c r="D57" s="5" t="s">
        <v>306</v>
      </c>
      <c r="E57" s="5">
        <v>6.21</v>
      </c>
      <c r="F57" s="14">
        <v>225</v>
      </c>
      <c r="G57" s="15">
        <v>1397.25</v>
      </c>
    </row>
    <row r="58" spans="1:7" x14ac:dyDescent="0.2">
      <c r="A58" s="13">
        <v>45423</v>
      </c>
      <c r="B58" s="5" t="s">
        <v>285</v>
      </c>
      <c r="C58" s="5" t="s">
        <v>12</v>
      </c>
      <c r="D58" s="5" t="s">
        <v>306</v>
      </c>
      <c r="E58" s="5">
        <v>12.24</v>
      </c>
      <c r="F58" s="14">
        <v>225</v>
      </c>
      <c r="G58" s="15">
        <v>2754</v>
      </c>
    </row>
    <row r="59" spans="1:7" x14ac:dyDescent="0.2">
      <c r="A59" s="13">
        <v>45426</v>
      </c>
      <c r="B59" s="5" t="s">
        <v>286</v>
      </c>
      <c r="C59" s="5" t="s">
        <v>12</v>
      </c>
      <c r="D59" s="5" t="s">
        <v>306</v>
      </c>
      <c r="E59" s="5">
        <v>15.71</v>
      </c>
      <c r="F59" s="14">
        <v>225</v>
      </c>
      <c r="G59" s="15">
        <v>3534.75</v>
      </c>
    </row>
    <row r="60" spans="1:7" x14ac:dyDescent="0.2">
      <c r="A60" s="13">
        <v>45430</v>
      </c>
      <c r="B60" s="5" t="s">
        <v>285</v>
      </c>
      <c r="C60" s="5" t="s">
        <v>12</v>
      </c>
      <c r="D60" s="5" t="s">
        <v>306</v>
      </c>
      <c r="E60" s="5">
        <v>12.53</v>
      </c>
      <c r="F60" s="14">
        <v>225</v>
      </c>
      <c r="G60" s="15">
        <v>2819.25</v>
      </c>
    </row>
    <row r="61" spans="1:7" x14ac:dyDescent="0.2">
      <c r="A61" s="13">
        <v>45435</v>
      </c>
      <c r="B61" s="5" t="s">
        <v>284</v>
      </c>
      <c r="C61" s="5" t="s">
        <v>12</v>
      </c>
      <c r="D61" s="5" t="s">
        <v>306</v>
      </c>
      <c r="E61" s="5">
        <v>15.54</v>
      </c>
      <c r="F61" s="14">
        <v>225</v>
      </c>
      <c r="G61" s="15">
        <v>3496.5</v>
      </c>
    </row>
    <row r="62" spans="1:7" x14ac:dyDescent="0.2">
      <c r="A62" s="16">
        <v>45435</v>
      </c>
      <c r="B62" s="5" t="s">
        <v>286</v>
      </c>
      <c r="C62" s="5" t="s">
        <v>12</v>
      </c>
      <c r="D62" s="5" t="s">
        <v>306</v>
      </c>
      <c r="E62" s="5">
        <v>4.5199999999999996</v>
      </c>
      <c r="F62" s="14">
        <v>225</v>
      </c>
      <c r="G62" s="15">
        <v>1016.9999999999999</v>
      </c>
    </row>
    <row r="63" spans="1:7" x14ac:dyDescent="0.2">
      <c r="A63" s="16">
        <v>45436</v>
      </c>
      <c r="B63" s="5" t="s">
        <v>285</v>
      </c>
      <c r="C63" s="5" t="s">
        <v>12</v>
      </c>
      <c r="D63" s="5" t="s">
        <v>306</v>
      </c>
      <c r="E63" s="5">
        <v>8.83</v>
      </c>
      <c r="F63" s="14">
        <v>225</v>
      </c>
      <c r="G63" s="15">
        <v>1986.75</v>
      </c>
    </row>
    <row r="64" spans="1:7" x14ac:dyDescent="0.2">
      <c r="A64" s="13">
        <v>45440</v>
      </c>
      <c r="B64" s="5" t="s">
        <v>284</v>
      </c>
      <c r="C64" s="5" t="s">
        <v>12</v>
      </c>
      <c r="D64" s="5" t="s">
        <v>306</v>
      </c>
      <c r="E64" s="5">
        <v>11.55</v>
      </c>
      <c r="F64" s="14">
        <v>225</v>
      </c>
      <c r="G64" s="15">
        <v>2598.75</v>
      </c>
    </row>
    <row r="65" spans="1:7" x14ac:dyDescent="0.2">
      <c r="A65" s="13">
        <v>45443</v>
      </c>
      <c r="B65" s="5" t="s">
        <v>285</v>
      </c>
      <c r="C65" s="5" t="s">
        <v>12</v>
      </c>
      <c r="D65" s="5" t="s">
        <v>306</v>
      </c>
      <c r="E65" s="5">
        <v>9.5299999999999994</v>
      </c>
      <c r="F65" s="14">
        <v>225</v>
      </c>
      <c r="G65" s="15">
        <v>2144.25</v>
      </c>
    </row>
    <row r="66" spans="1:7" x14ac:dyDescent="0.2">
      <c r="A66" s="13">
        <v>45445</v>
      </c>
      <c r="B66" s="5" t="s">
        <v>287</v>
      </c>
      <c r="C66" s="5" t="s">
        <v>12</v>
      </c>
      <c r="D66" s="5" t="s">
        <v>306</v>
      </c>
      <c r="E66" s="5">
        <v>9.74</v>
      </c>
      <c r="F66" s="14">
        <v>225</v>
      </c>
      <c r="G66" s="15">
        <v>2191.5</v>
      </c>
    </row>
    <row r="67" spans="1:7" x14ac:dyDescent="0.2">
      <c r="A67" s="13">
        <v>45448</v>
      </c>
      <c r="B67" s="5" t="s">
        <v>285</v>
      </c>
      <c r="C67" s="5" t="s">
        <v>12</v>
      </c>
      <c r="D67" s="5" t="s">
        <v>306</v>
      </c>
      <c r="E67" s="5">
        <v>10.199999999999999</v>
      </c>
      <c r="F67" s="14">
        <v>225</v>
      </c>
      <c r="G67" s="15">
        <v>2295</v>
      </c>
    </row>
    <row r="68" spans="1:7" x14ac:dyDescent="0.2">
      <c r="A68" s="16">
        <v>45451</v>
      </c>
      <c r="B68" s="5" t="s">
        <v>284</v>
      </c>
      <c r="C68" s="5" t="s">
        <v>12</v>
      </c>
      <c r="D68" s="5" t="s">
        <v>306</v>
      </c>
      <c r="E68" s="5">
        <v>15.62</v>
      </c>
      <c r="F68" s="14">
        <v>225</v>
      </c>
      <c r="G68" s="15">
        <v>3514.5</v>
      </c>
    </row>
    <row r="69" spans="1:7" x14ac:dyDescent="0.2">
      <c r="A69" s="13">
        <v>45455</v>
      </c>
      <c r="B69" s="5" t="s">
        <v>284</v>
      </c>
      <c r="C69" s="5" t="s">
        <v>12</v>
      </c>
      <c r="D69" s="5" t="s">
        <v>306</v>
      </c>
      <c r="E69" s="5">
        <v>9.42</v>
      </c>
      <c r="F69" s="14">
        <v>225</v>
      </c>
      <c r="G69" s="15">
        <v>2119.5</v>
      </c>
    </row>
    <row r="70" spans="1:7" x14ac:dyDescent="0.2">
      <c r="A70" s="13">
        <v>45456</v>
      </c>
      <c r="B70" s="5" t="s">
        <v>286</v>
      </c>
      <c r="C70" s="5" t="s">
        <v>12</v>
      </c>
      <c r="D70" s="5" t="s">
        <v>306</v>
      </c>
      <c r="E70" s="5">
        <v>12.57</v>
      </c>
      <c r="F70" s="14">
        <v>225</v>
      </c>
      <c r="G70" s="15">
        <v>2828.25</v>
      </c>
    </row>
    <row r="71" spans="1:7" x14ac:dyDescent="0.2">
      <c r="A71" s="13">
        <v>45461</v>
      </c>
      <c r="B71" s="5" t="s">
        <v>285</v>
      </c>
      <c r="C71" s="5" t="s">
        <v>12</v>
      </c>
      <c r="D71" s="5" t="s">
        <v>306</v>
      </c>
      <c r="E71" s="5">
        <v>13.73</v>
      </c>
      <c r="F71" s="14">
        <v>225</v>
      </c>
      <c r="G71" s="15">
        <v>3089.25</v>
      </c>
    </row>
    <row r="72" spans="1:7" x14ac:dyDescent="0.2">
      <c r="A72" s="13">
        <v>45461</v>
      </c>
      <c r="B72" s="5" t="s">
        <v>287</v>
      </c>
      <c r="C72" s="5" t="s">
        <v>12</v>
      </c>
      <c r="D72" s="5" t="s">
        <v>306</v>
      </c>
      <c r="E72" s="5">
        <v>5.48</v>
      </c>
      <c r="F72" s="14">
        <v>225</v>
      </c>
      <c r="G72" s="15">
        <v>1233</v>
      </c>
    </row>
    <row r="73" spans="1:7" x14ac:dyDescent="0.2">
      <c r="A73" s="13">
        <v>45462</v>
      </c>
      <c r="B73" s="5" t="s">
        <v>284</v>
      </c>
      <c r="C73" s="5" t="s">
        <v>12</v>
      </c>
      <c r="D73" s="5" t="s">
        <v>306</v>
      </c>
      <c r="E73" s="5">
        <v>7.58</v>
      </c>
      <c r="F73" s="14">
        <v>225</v>
      </c>
      <c r="G73" s="15">
        <v>1705.5</v>
      </c>
    </row>
    <row r="74" spans="1:7" x14ac:dyDescent="0.2">
      <c r="A74" s="13">
        <v>45467</v>
      </c>
      <c r="B74" s="5" t="s">
        <v>286</v>
      </c>
      <c r="C74" s="5" t="s">
        <v>12</v>
      </c>
      <c r="D74" s="5" t="s">
        <v>306</v>
      </c>
      <c r="E74" s="5">
        <v>8.41</v>
      </c>
      <c r="F74" s="14">
        <v>225</v>
      </c>
      <c r="G74" s="15">
        <v>1892.25</v>
      </c>
    </row>
    <row r="75" spans="1:7" x14ac:dyDescent="0.2">
      <c r="A75" s="13">
        <v>45469</v>
      </c>
      <c r="B75" s="5" t="s">
        <v>285</v>
      </c>
      <c r="C75" s="5" t="s">
        <v>12</v>
      </c>
      <c r="D75" s="5" t="s">
        <v>306</v>
      </c>
      <c r="E75" s="5">
        <v>11.51</v>
      </c>
      <c r="F75" s="14">
        <v>225</v>
      </c>
      <c r="G75" s="15">
        <v>2589.75</v>
      </c>
    </row>
    <row r="76" spans="1:7" x14ac:dyDescent="0.2">
      <c r="A76" s="13">
        <v>45471</v>
      </c>
      <c r="B76" s="5" t="s">
        <v>285</v>
      </c>
      <c r="C76" s="5" t="s">
        <v>12</v>
      </c>
      <c r="D76" s="5" t="s">
        <v>306</v>
      </c>
      <c r="E76" s="5">
        <v>8.6300000000000008</v>
      </c>
      <c r="F76" s="14">
        <v>225</v>
      </c>
      <c r="G76" s="15">
        <v>1941.7500000000002</v>
      </c>
    </row>
    <row r="77" spans="1:7" x14ac:dyDescent="0.2">
      <c r="A77" s="13">
        <v>45471</v>
      </c>
      <c r="B77" s="5" t="s">
        <v>285</v>
      </c>
      <c r="C77" s="5" t="s">
        <v>12</v>
      </c>
      <c r="D77" s="5" t="s">
        <v>306</v>
      </c>
      <c r="E77" s="5">
        <v>13.17</v>
      </c>
      <c r="F77" s="14">
        <v>225</v>
      </c>
      <c r="G77" s="15">
        <v>2963.25</v>
      </c>
    </row>
    <row r="78" spans="1:7" x14ac:dyDescent="0.2">
      <c r="A78" s="13">
        <v>45479</v>
      </c>
      <c r="B78" s="5" t="s">
        <v>284</v>
      </c>
      <c r="C78" s="5" t="s">
        <v>12</v>
      </c>
      <c r="D78" s="5" t="s">
        <v>306</v>
      </c>
      <c r="E78" s="5">
        <v>15.76</v>
      </c>
      <c r="F78" s="14">
        <v>225</v>
      </c>
      <c r="G78" s="15">
        <v>3546</v>
      </c>
    </row>
    <row r="79" spans="1:7" x14ac:dyDescent="0.2">
      <c r="A79" s="13">
        <v>45481</v>
      </c>
      <c r="B79" s="5" t="s">
        <v>284</v>
      </c>
      <c r="C79" s="5" t="s">
        <v>12</v>
      </c>
      <c r="D79" s="5" t="s">
        <v>306</v>
      </c>
      <c r="E79" s="5">
        <v>15.48</v>
      </c>
      <c r="F79" s="14">
        <v>225</v>
      </c>
      <c r="G79" s="15">
        <v>3483</v>
      </c>
    </row>
    <row r="80" spans="1:7" x14ac:dyDescent="0.2">
      <c r="A80" s="13">
        <v>45485</v>
      </c>
      <c r="B80" s="5" t="s">
        <v>284</v>
      </c>
      <c r="C80" s="5" t="s">
        <v>12</v>
      </c>
      <c r="D80" s="5" t="s">
        <v>306</v>
      </c>
      <c r="E80" s="5">
        <v>6.51</v>
      </c>
      <c r="F80" s="14">
        <v>225</v>
      </c>
      <c r="G80" s="15">
        <v>1464.75</v>
      </c>
    </row>
    <row r="81" spans="1:7" x14ac:dyDescent="0.2">
      <c r="A81" s="13">
        <v>45486</v>
      </c>
      <c r="B81" s="5" t="s">
        <v>285</v>
      </c>
      <c r="C81" s="5" t="s">
        <v>12</v>
      </c>
      <c r="D81" s="5" t="s">
        <v>306</v>
      </c>
      <c r="E81" s="5">
        <v>12.3</v>
      </c>
      <c r="F81" s="14">
        <v>225</v>
      </c>
      <c r="G81" s="15">
        <v>2767.5</v>
      </c>
    </row>
    <row r="82" spans="1:7" x14ac:dyDescent="0.2">
      <c r="A82" s="13">
        <v>45486</v>
      </c>
      <c r="B82" s="5" t="s">
        <v>287</v>
      </c>
      <c r="C82" s="5" t="s">
        <v>12</v>
      </c>
      <c r="D82" s="5" t="s">
        <v>306</v>
      </c>
      <c r="E82" s="5">
        <v>10.32</v>
      </c>
      <c r="F82" s="14">
        <v>225</v>
      </c>
      <c r="G82" s="15">
        <v>2322</v>
      </c>
    </row>
    <row r="83" spans="1:7" x14ac:dyDescent="0.2">
      <c r="A83" s="13">
        <v>45490</v>
      </c>
      <c r="B83" s="5" t="s">
        <v>286</v>
      </c>
      <c r="C83" s="5" t="s">
        <v>12</v>
      </c>
      <c r="D83" s="5" t="s">
        <v>306</v>
      </c>
      <c r="E83" s="5">
        <v>11.83</v>
      </c>
      <c r="F83" s="14">
        <v>225</v>
      </c>
      <c r="G83" s="15">
        <v>2661.75</v>
      </c>
    </row>
    <row r="84" spans="1:7" x14ac:dyDescent="0.2">
      <c r="A84" s="13">
        <v>45491</v>
      </c>
      <c r="B84" s="5" t="s">
        <v>284</v>
      </c>
      <c r="C84" s="5" t="s">
        <v>12</v>
      </c>
      <c r="D84" s="5" t="s">
        <v>306</v>
      </c>
      <c r="E84" s="5">
        <v>8.2100000000000009</v>
      </c>
      <c r="F84" s="14">
        <v>225</v>
      </c>
      <c r="G84" s="15">
        <v>1847.2500000000002</v>
      </c>
    </row>
    <row r="85" spans="1:7" x14ac:dyDescent="0.2">
      <c r="A85" s="13">
        <v>45496</v>
      </c>
      <c r="B85" s="5" t="s">
        <v>286</v>
      </c>
      <c r="C85" s="5" t="s">
        <v>12</v>
      </c>
      <c r="D85" s="5" t="s">
        <v>306</v>
      </c>
      <c r="E85" s="5">
        <v>13</v>
      </c>
      <c r="F85" s="14">
        <v>225</v>
      </c>
      <c r="G85" s="15">
        <v>2925</v>
      </c>
    </row>
    <row r="86" spans="1:7" x14ac:dyDescent="0.2">
      <c r="A86" s="13">
        <v>45497</v>
      </c>
      <c r="B86" s="5" t="s">
        <v>284</v>
      </c>
      <c r="C86" s="5" t="s">
        <v>12</v>
      </c>
      <c r="D86" s="5" t="s">
        <v>306</v>
      </c>
      <c r="E86" s="5">
        <v>13.73</v>
      </c>
      <c r="F86" s="14">
        <v>225</v>
      </c>
      <c r="G86" s="15">
        <v>3089.25</v>
      </c>
    </row>
    <row r="87" spans="1:7" x14ac:dyDescent="0.2">
      <c r="A87" s="16">
        <v>45498</v>
      </c>
      <c r="B87" s="5" t="s">
        <v>284</v>
      </c>
      <c r="C87" s="5" t="s">
        <v>12</v>
      </c>
      <c r="D87" s="5" t="s">
        <v>306</v>
      </c>
      <c r="E87" s="5">
        <v>5.69</v>
      </c>
      <c r="F87" s="14">
        <v>225</v>
      </c>
      <c r="G87" s="15">
        <v>1280.25</v>
      </c>
    </row>
    <row r="88" spans="1:7" x14ac:dyDescent="0.2">
      <c r="A88" s="13">
        <v>45499</v>
      </c>
      <c r="B88" s="5" t="s">
        <v>284</v>
      </c>
      <c r="C88" s="5" t="s">
        <v>12</v>
      </c>
      <c r="D88" s="5" t="s">
        <v>306</v>
      </c>
      <c r="E88" s="5">
        <v>15.78</v>
      </c>
      <c r="F88" s="14">
        <v>225</v>
      </c>
      <c r="G88" s="15">
        <v>3550.5</v>
      </c>
    </row>
    <row r="89" spans="1:7" x14ac:dyDescent="0.2">
      <c r="A89" s="13">
        <v>45500</v>
      </c>
      <c r="B89" s="5" t="s">
        <v>284</v>
      </c>
      <c r="C89" s="5" t="s">
        <v>12</v>
      </c>
      <c r="D89" s="5" t="s">
        <v>306</v>
      </c>
      <c r="E89" s="5">
        <v>11.58</v>
      </c>
      <c r="F89" s="14">
        <v>225</v>
      </c>
      <c r="G89" s="15">
        <v>2605.5</v>
      </c>
    </row>
    <row r="90" spans="1:7" x14ac:dyDescent="0.2">
      <c r="A90" s="13">
        <v>45500</v>
      </c>
      <c r="B90" s="5" t="s">
        <v>285</v>
      </c>
      <c r="C90" s="5" t="s">
        <v>12</v>
      </c>
      <c r="D90" s="5" t="s">
        <v>306</v>
      </c>
      <c r="E90" s="5">
        <v>4.72</v>
      </c>
      <c r="F90" s="14">
        <v>225</v>
      </c>
      <c r="G90" s="15">
        <v>1062</v>
      </c>
    </row>
    <row r="91" spans="1:7" x14ac:dyDescent="0.2">
      <c r="A91" s="13">
        <v>45513</v>
      </c>
      <c r="B91" s="5" t="s">
        <v>286</v>
      </c>
      <c r="C91" s="5" t="s">
        <v>12</v>
      </c>
      <c r="D91" s="5" t="s">
        <v>306</v>
      </c>
      <c r="E91" s="5">
        <v>11.07</v>
      </c>
      <c r="F91" s="14">
        <v>225</v>
      </c>
      <c r="G91" s="15">
        <v>2490.75</v>
      </c>
    </row>
    <row r="92" spans="1:7" x14ac:dyDescent="0.2">
      <c r="A92" s="13">
        <v>45514</v>
      </c>
      <c r="B92" s="5" t="s">
        <v>284</v>
      </c>
      <c r="C92" s="5" t="s">
        <v>12</v>
      </c>
      <c r="D92" s="5" t="s">
        <v>306</v>
      </c>
      <c r="E92" s="5">
        <v>12.24</v>
      </c>
      <c r="F92" s="14">
        <v>225</v>
      </c>
      <c r="G92" s="15">
        <v>2754</v>
      </c>
    </row>
    <row r="93" spans="1:7" x14ac:dyDescent="0.2">
      <c r="A93" s="13">
        <v>45516</v>
      </c>
      <c r="B93" s="5" t="s">
        <v>284</v>
      </c>
      <c r="C93" s="5" t="s">
        <v>12</v>
      </c>
      <c r="D93" s="5" t="s">
        <v>306</v>
      </c>
      <c r="E93" s="5">
        <v>11.8</v>
      </c>
      <c r="F93" s="14">
        <v>225</v>
      </c>
      <c r="G93" s="15">
        <v>2655</v>
      </c>
    </row>
    <row r="94" spans="1:7" x14ac:dyDescent="0.2">
      <c r="A94" s="13">
        <v>45520</v>
      </c>
      <c r="B94" s="5" t="s">
        <v>284</v>
      </c>
      <c r="C94" s="5" t="s">
        <v>12</v>
      </c>
      <c r="D94" s="5" t="s">
        <v>306</v>
      </c>
      <c r="E94" s="5">
        <v>14.5</v>
      </c>
      <c r="F94" s="14">
        <v>225</v>
      </c>
      <c r="G94" s="15">
        <v>3262.5</v>
      </c>
    </row>
    <row r="95" spans="1:7" x14ac:dyDescent="0.2">
      <c r="A95" s="13">
        <v>45520</v>
      </c>
      <c r="B95" s="5" t="s">
        <v>285</v>
      </c>
      <c r="C95" s="5" t="s">
        <v>12</v>
      </c>
      <c r="D95" s="5" t="s">
        <v>306</v>
      </c>
      <c r="E95" s="5">
        <v>12.68</v>
      </c>
      <c r="F95" s="14">
        <v>225</v>
      </c>
      <c r="G95" s="15">
        <v>2853</v>
      </c>
    </row>
    <row r="96" spans="1:7" x14ac:dyDescent="0.2">
      <c r="A96" s="13">
        <v>45522</v>
      </c>
      <c r="B96" s="5" t="s">
        <v>284</v>
      </c>
      <c r="C96" s="5" t="s">
        <v>12</v>
      </c>
      <c r="D96" s="5" t="s">
        <v>306</v>
      </c>
      <c r="E96" s="5">
        <v>11.05</v>
      </c>
      <c r="F96" s="14">
        <v>225</v>
      </c>
      <c r="G96" s="15">
        <v>2486.25</v>
      </c>
    </row>
    <row r="97" spans="1:7" x14ac:dyDescent="0.2">
      <c r="A97" s="13">
        <v>45524</v>
      </c>
      <c r="B97" s="5" t="s">
        <v>284</v>
      </c>
      <c r="C97" s="5" t="s">
        <v>12</v>
      </c>
      <c r="D97" s="5" t="s">
        <v>306</v>
      </c>
      <c r="E97" s="5">
        <v>9.57</v>
      </c>
      <c r="F97" s="14">
        <v>225</v>
      </c>
      <c r="G97" s="15">
        <v>2153.25</v>
      </c>
    </row>
    <row r="98" spans="1:7" x14ac:dyDescent="0.2">
      <c r="A98" s="13">
        <v>45525</v>
      </c>
      <c r="B98" s="5" t="s">
        <v>286</v>
      </c>
      <c r="C98" s="5" t="s">
        <v>12</v>
      </c>
      <c r="D98" s="5" t="s">
        <v>306</v>
      </c>
      <c r="E98" s="5">
        <v>14.34</v>
      </c>
      <c r="F98" s="14">
        <v>225</v>
      </c>
      <c r="G98" s="15">
        <v>3226.5</v>
      </c>
    </row>
    <row r="99" spans="1:7" x14ac:dyDescent="0.2">
      <c r="A99" s="13">
        <v>45529</v>
      </c>
      <c r="B99" s="5" t="s">
        <v>285</v>
      </c>
      <c r="C99" s="5" t="s">
        <v>12</v>
      </c>
      <c r="D99" s="5" t="s">
        <v>306</v>
      </c>
      <c r="E99" s="5">
        <v>5.17</v>
      </c>
      <c r="F99" s="14">
        <v>225</v>
      </c>
      <c r="G99" s="15">
        <v>1163.25</v>
      </c>
    </row>
    <row r="100" spans="1:7" x14ac:dyDescent="0.2">
      <c r="A100" s="13">
        <v>45530</v>
      </c>
      <c r="B100" s="5" t="s">
        <v>284</v>
      </c>
      <c r="C100" s="5" t="s">
        <v>12</v>
      </c>
      <c r="D100" s="5" t="s">
        <v>306</v>
      </c>
      <c r="E100" s="5">
        <v>15.73</v>
      </c>
      <c r="F100" s="14">
        <v>225</v>
      </c>
      <c r="G100" s="15">
        <v>3539.25</v>
      </c>
    </row>
    <row r="101" spans="1:7" x14ac:dyDescent="0.2">
      <c r="A101" s="16">
        <v>45531</v>
      </c>
      <c r="B101" s="5" t="s">
        <v>284</v>
      </c>
      <c r="C101" s="5" t="s">
        <v>12</v>
      </c>
      <c r="D101" s="5" t="s">
        <v>306</v>
      </c>
      <c r="E101" s="5">
        <v>14.47</v>
      </c>
      <c r="F101" s="14">
        <v>225</v>
      </c>
      <c r="G101" s="15">
        <v>3255.75</v>
      </c>
    </row>
    <row r="102" spans="1:7" x14ac:dyDescent="0.2">
      <c r="A102" s="13">
        <v>45532</v>
      </c>
      <c r="B102" s="5" t="s">
        <v>284</v>
      </c>
      <c r="C102" s="5" t="s">
        <v>12</v>
      </c>
      <c r="D102" s="5" t="s">
        <v>306</v>
      </c>
      <c r="E102" s="5">
        <v>8.2100000000000009</v>
      </c>
      <c r="F102" s="14">
        <v>225</v>
      </c>
      <c r="G102" s="15">
        <v>1847.2500000000002</v>
      </c>
    </row>
    <row r="103" spans="1:7" x14ac:dyDescent="0.2">
      <c r="A103" s="13">
        <v>45536</v>
      </c>
      <c r="B103" s="5" t="s">
        <v>285</v>
      </c>
      <c r="C103" s="5" t="s">
        <v>12</v>
      </c>
      <c r="D103" s="5" t="s">
        <v>306</v>
      </c>
      <c r="E103" s="5">
        <v>6.42</v>
      </c>
      <c r="F103" s="14">
        <v>225</v>
      </c>
      <c r="G103" s="15">
        <v>1444.5</v>
      </c>
    </row>
    <row r="104" spans="1:7" x14ac:dyDescent="0.2">
      <c r="A104" s="13">
        <v>45540</v>
      </c>
      <c r="B104" s="5" t="s">
        <v>285</v>
      </c>
      <c r="C104" s="5" t="s">
        <v>12</v>
      </c>
      <c r="D104" s="5" t="s">
        <v>306</v>
      </c>
      <c r="E104" s="5">
        <v>7.05</v>
      </c>
      <c r="F104" s="14">
        <v>225</v>
      </c>
      <c r="G104" s="15">
        <v>1586.25</v>
      </c>
    </row>
    <row r="105" spans="1:7" x14ac:dyDescent="0.2">
      <c r="A105" s="13">
        <v>45541</v>
      </c>
      <c r="B105" s="5" t="s">
        <v>284</v>
      </c>
      <c r="C105" s="5" t="s">
        <v>12</v>
      </c>
      <c r="D105" s="5" t="s">
        <v>306</v>
      </c>
      <c r="E105" s="5">
        <v>7.27</v>
      </c>
      <c r="F105" s="14">
        <v>225</v>
      </c>
      <c r="G105" s="15">
        <v>1635.75</v>
      </c>
    </row>
    <row r="106" spans="1:7" x14ac:dyDescent="0.2">
      <c r="A106" s="13">
        <v>45541</v>
      </c>
      <c r="B106" s="5" t="s">
        <v>285</v>
      </c>
      <c r="C106" s="5" t="s">
        <v>12</v>
      </c>
      <c r="D106" s="5" t="s">
        <v>306</v>
      </c>
      <c r="E106" s="5">
        <v>8.52</v>
      </c>
      <c r="F106" s="14">
        <v>225</v>
      </c>
      <c r="G106" s="15">
        <v>1917</v>
      </c>
    </row>
    <row r="107" spans="1:7" x14ac:dyDescent="0.2">
      <c r="A107" s="13">
        <v>45545</v>
      </c>
      <c r="B107" s="5" t="s">
        <v>284</v>
      </c>
      <c r="C107" s="5" t="s">
        <v>12</v>
      </c>
      <c r="D107" s="5" t="s">
        <v>306</v>
      </c>
      <c r="E107" s="5">
        <v>13.44</v>
      </c>
      <c r="F107" s="14">
        <v>225</v>
      </c>
      <c r="G107" s="15">
        <v>3024</v>
      </c>
    </row>
    <row r="108" spans="1:7" x14ac:dyDescent="0.2">
      <c r="A108" s="13">
        <v>45551</v>
      </c>
      <c r="B108" s="5" t="s">
        <v>284</v>
      </c>
      <c r="C108" s="5" t="s">
        <v>12</v>
      </c>
      <c r="D108" s="5" t="s">
        <v>306</v>
      </c>
      <c r="E108" s="5">
        <v>12.68</v>
      </c>
      <c r="F108" s="14">
        <v>225</v>
      </c>
      <c r="G108" s="15">
        <v>2853</v>
      </c>
    </row>
    <row r="109" spans="1:7" x14ac:dyDescent="0.2">
      <c r="A109" s="13">
        <v>45554</v>
      </c>
      <c r="B109" s="5" t="s">
        <v>284</v>
      </c>
      <c r="C109" s="5" t="s">
        <v>12</v>
      </c>
      <c r="D109" s="5" t="s">
        <v>306</v>
      </c>
      <c r="E109" s="5">
        <v>14.61</v>
      </c>
      <c r="F109" s="14">
        <v>225</v>
      </c>
      <c r="G109" s="15">
        <v>3287.25</v>
      </c>
    </row>
    <row r="110" spans="1:7" x14ac:dyDescent="0.2">
      <c r="A110" s="13">
        <v>45555</v>
      </c>
      <c r="B110" s="5" t="s">
        <v>284</v>
      </c>
      <c r="C110" s="5" t="s">
        <v>12</v>
      </c>
      <c r="D110" s="5" t="s">
        <v>306</v>
      </c>
      <c r="E110" s="5">
        <v>6.38</v>
      </c>
      <c r="F110" s="14">
        <v>225</v>
      </c>
      <c r="G110" s="15">
        <v>1435.5</v>
      </c>
    </row>
    <row r="111" spans="1:7" x14ac:dyDescent="0.2">
      <c r="A111" s="13">
        <v>45555</v>
      </c>
      <c r="B111" s="5" t="s">
        <v>285</v>
      </c>
      <c r="C111" s="5" t="s">
        <v>12</v>
      </c>
      <c r="D111" s="5" t="s">
        <v>306</v>
      </c>
      <c r="E111" s="5">
        <v>9.99</v>
      </c>
      <c r="F111" s="14">
        <v>225</v>
      </c>
      <c r="G111" s="15">
        <v>2247.75</v>
      </c>
    </row>
    <row r="112" spans="1:7" x14ac:dyDescent="0.2">
      <c r="A112" s="13">
        <v>45564</v>
      </c>
      <c r="B112" s="5" t="s">
        <v>287</v>
      </c>
      <c r="C112" s="5" t="s">
        <v>12</v>
      </c>
      <c r="D112" s="5" t="s">
        <v>306</v>
      </c>
      <c r="E112" s="5">
        <v>10.18</v>
      </c>
      <c r="F112" s="14">
        <v>225</v>
      </c>
      <c r="G112" s="15">
        <v>2290.5</v>
      </c>
    </row>
    <row r="113" spans="1:7" x14ac:dyDescent="0.2">
      <c r="A113" s="13">
        <v>45568</v>
      </c>
      <c r="B113" s="5" t="s">
        <v>286</v>
      </c>
      <c r="C113" s="5" t="s">
        <v>12</v>
      </c>
      <c r="D113" s="5" t="s">
        <v>306</v>
      </c>
      <c r="E113" s="5">
        <v>10.23</v>
      </c>
      <c r="F113" s="14">
        <v>225</v>
      </c>
      <c r="G113" s="15">
        <v>2301.75</v>
      </c>
    </row>
    <row r="114" spans="1:7" x14ac:dyDescent="0.2">
      <c r="A114" s="13">
        <v>45569</v>
      </c>
      <c r="B114" s="5" t="s">
        <v>286</v>
      </c>
      <c r="C114" s="5" t="s">
        <v>12</v>
      </c>
      <c r="D114" s="5" t="s">
        <v>306</v>
      </c>
      <c r="E114" s="5">
        <v>4.41</v>
      </c>
      <c r="F114" s="14">
        <v>225</v>
      </c>
      <c r="G114" s="15">
        <v>992.25</v>
      </c>
    </row>
    <row r="115" spans="1:7" x14ac:dyDescent="0.2">
      <c r="A115" s="13">
        <v>45574</v>
      </c>
      <c r="B115" s="5" t="s">
        <v>287</v>
      </c>
      <c r="C115" s="5" t="s">
        <v>12</v>
      </c>
      <c r="D115" s="5" t="s">
        <v>306</v>
      </c>
      <c r="E115" s="5">
        <v>9.26</v>
      </c>
      <c r="F115" s="14">
        <v>225</v>
      </c>
      <c r="G115" s="15">
        <v>2083.5</v>
      </c>
    </row>
    <row r="116" spans="1:7" x14ac:dyDescent="0.2">
      <c r="A116" s="13">
        <v>45579</v>
      </c>
      <c r="B116" s="5" t="s">
        <v>284</v>
      </c>
      <c r="C116" s="5" t="s">
        <v>12</v>
      </c>
      <c r="D116" s="5" t="s">
        <v>306</v>
      </c>
      <c r="E116" s="5">
        <v>5.97</v>
      </c>
      <c r="F116" s="14">
        <v>225</v>
      </c>
      <c r="G116" s="15">
        <v>1343.25</v>
      </c>
    </row>
    <row r="117" spans="1:7" x14ac:dyDescent="0.2">
      <c r="A117" s="13">
        <v>45580</v>
      </c>
      <c r="B117" s="5" t="s">
        <v>284</v>
      </c>
      <c r="C117" s="5" t="s">
        <v>12</v>
      </c>
      <c r="D117" s="5" t="s">
        <v>306</v>
      </c>
      <c r="E117" s="5">
        <v>9.91</v>
      </c>
      <c r="F117" s="14">
        <v>225</v>
      </c>
      <c r="G117" s="15">
        <v>2229.75</v>
      </c>
    </row>
    <row r="118" spans="1:7" x14ac:dyDescent="0.2">
      <c r="A118" s="13">
        <v>45582</v>
      </c>
      <c r="B118" s="5" t="s">
        <v>287</v>
      </c>
      <c r="C118" s="5" t="s">
        <v>12</v>
      </c>
      <c r="D118" s="5" t="s">
        <v>306</v>
      </c>
      <c r="E118" s="5">
        <v>7.64</v>
      </c>
      <c r="F118" s="14">
        <v>225</v>
      </c>
      <c r="G118" s="15">
        <v>1719</v>
      </c>
    </row>
    <row r="119" spans="1:7" x14ac:dyDescent="0.2">
      <c r="A119" s="16">
        <v>45584</v>
      </c>
      <c r="B119" s="5" t="s">
        <v>284</v>
      </c>
      <c r="C119" s="5" t="s">
        <v>12</v>
      </c>
      <c r="D119" s="5" t="s">
        <v>306</v>
      </c>
      <c r="E119" s="5">
        <v>13.08</v>
      </c>
      <c r="F119" s="14">
        <v>225</v>
      </c>
      <c r="G119" s="15">
        <v>2943</v>
      </c>
    </row>
    <row r="120" spans="1:7" x14ac:dyDescent="0.2">
      <c r="A120" s="13">
        <v>45584</v>
      </c>
      <c r="B120" s="5" t="s">
        <v>286</v>
      </c>
      <c r="C120" s="5" t="s">
        <v>12</v>
      </c>
      <c r="D120" s="5" t="s">
        <v>306</v>
      </c>
      <c r="E120" s="5">
        <v>15.62</v>
      </c>
      <c r="F120" s="14">
        <v>225</v>
      </c>
      <c r="G120" s="15">
        <v>3514.5</v>
      </c>
    </row>
    <row r="121" spans="1:7" x14ac:dyDescent="0.2">
      <c r="A121" s="13">
        <v>45585</v>
      </c>
      <c r="B121" s="5" t="s">
        <v>287</v>
      </c>
      <c r="C121" s="5" t="s">
        <v>12</v>
      </c>
      <c r="D121" s="5" t="s">
        <v>306</v>
      </c>
      <c r="E121" s="5">
        <v>7.97</v>
      </c>
      <c r="F121" s="14">
        <v>225</v>
      </c>
      <c r="G121" s="15">
        <v>1793.25</v>
      </c>
    </row>
    <row r="122" spans="1:7" x14ac:dyDescent="0.2">
      <c r="A122" s="13">
        <v>45586</v>
      </c>
      <c r="B122" s="5" t="s">
        <v>284</v>
      </c>
      <c r="C122" s="5" t="s">
        <v>12</v>
      </c>
      <c r="D122" s="5" t="s">
        <v>306</v>
      </c>
      <c r="E122" s="5">
        <v>13.26</v>
      </c>
      <c r="F122" s="14">
        <v>225</v>
      </c>
      <c r="G122" s="15">
        <v>2983.5</v>
      </c>
    </row>
    <row r="123" spans="1:7" x14ac:dyDescent="0.2">
      <c r="A123" s="13">
        <v>45590</v>
      </c>
      <c r="B123" s="5" t="s">
        <v>285</v>
      </c>
      <c r="C123" s="5" t="s">
        <v>12</v>
      </c>
      <c r="D123" s="5" t="s">
        <v>306</v>
      </c>
      <c r="E123" s="5">
        <v>11.82</v>
      </c>
      <c r="F123" s="14">
        <v>225</v>
      </c>
      <c r="G123" s="15">
        <v>2659.5</v>
      </c>
    </row>
    <row r="124" spans="1:7" x14ac:dyDescent="0.2">
      <c r="A124" s="13">
        <v>45591</v>
      </c>
      <c r="B124" s="5" t="s">
        <v>285</v>
      </c>
      <c r="C124" s="5" t="s">
        <v>12</v>
      </c>
      <c r="D124" s="5" t="s">
        <v>306</v>
      </c>
      <c r="E124" s="5">
        <v>7.66</v>
      </c>
      <c r="F124" s="14">
        <v>225</v>
      </c>
      <c r="G124" s="15">
        <v>1723.5</v>
      </c>
    </row>
    <row r="125" spans="1:7" x14ac:dyDescent="0.2">
      <c r="A125" s="13">
        <v>45592</v>
      </c>
      <c r="B125" s="5" t="s">
        <v>284</v>
      </c>
      <c r="C125" s="5" t="s">
        <v>12</v>
      </c>
      <c r="D125" s="5" t="s">
        <v>306</v>
      </c>
      <c r="E125" s="5">
        <v>13.26</v>
      </c>
      <c r="F125" s="14">
        <v>225</v>
      </c>
      <c r="G125" s="15">
        <v>2983.5</v>
      </c>
    </row>
    <row r="126" spans="1:7" x14ac:dyDescent="0.2">
      <c r="A126" s="13">
        <v>45603</v>
      </c>
      <c r="B126" s="5" t="s">
        <v>286</v>
      </c>
      <c r="C126" s="5" t="s">
        <v>12</v>
      </c>
      <c r="D126" s="5" t="s">
        <v>306</v>
      </c>
      <c r="E126" s="5">
        <v>6.83</v>
      </c>
      <c r="F126" s="14">
        <v>225</v>
      </c>
      <c r="G126" s="15">
        <v>1536.75</v>
      </c>
    </row>
    <row r="127" spans="1:7" x14ac:dyDescent="0.2">
      <c r="A127" s="13">
        <v>45604</v>
      </c>
      <c r="B127" s="5" t="s">
        <v>287</v>
      </c>
      <c r="C127" s="5" t="s">
        <v>12</v>
      </c>
      <c r="D127" s="5" t="s">
        <v>306</v>
      </c>
      <c r="E127" s="5">
        <v>6.37</v>
      </c>
      <c r="F127" s="14">
        <v>225</v>
      </c>
      <c r="G127" s="15">
        <v>1433.25</v>
      </c>
    </row>
    <row r="128" spans="1:7" x14ac:dyDescent="0.2">
      <c r="A128" s="13">
        <v>45607</v>
      </c>
      <c r="B128" s="5" t="s">
        <v>284</v>
      </c>
      <c r="C128" s="5" t="s">
        <v>12</v>
      </c>
      <c r="D128" s="5" t="s">
        <v>306</v>
      </c>
      <c r="E128" s="5">
        <v>12.34</v>
      </c>
      <c r="F128" s="14">
        <v>225</v>
      </c>
      <c r="G128" s="15">
        <v>2776.5</v>
      </c>
    </row>
    <row r="129" spans="1:7" x14ac:dyDescent="0.2">
      <c r="A129" s="13">
        <v>45620</v>
      </c>
      <c r="B129" s="5" t="s">
        <v>284</v>
      </c>
      <c r="C129" s="5" t="s">
        <v>12</v>
      </c>
      <c r="D129" s="5" t="s">
        <v>306</v>
      </c>
      <c r="E129" s="5">
        <v>4.55</v>
      </c>
      <c r="F129" s="14">
        <v>225</v>
      </c>
      <c r="G129" s="15">
        <v>1023.75</v>
      </c>
    </row>
    <row r="130" spans="1:7" x14ac:dyDescent="0.2">
      <c r="A130" s="13">
        <v>45624</v>
      </c>
      <c r="B130" s="5" t="s">
        <v>285</v>
      </c>
      <c r="C130" s="5" t="s">
        <v>12</v>
      </c>
      <c r="D130" s="5" t="s">
        <v>306</v>
      </c>
      <c r="E130" s="5">
        <v>13.31</v>
      </c>
      <c r="F130" s="14">
        <v>225</v>
      </c>
      <c r="G130" s="15">
        <v>2994.75</v>
      </c>
    </row>
    <row r="131" spans="1:7" x14ac:dyDescent="0.2">
      <c r="A131" s="13">
        <v>45628</v>
      </c>
      <c r="B131" s="5" t="s">
        <v>287</v>
      </c>
      <c r="C131" s="5" t="s">
        <v>12</v>
      </c>
      <c r="D131" s="5" t="s">
        <v>306</v>
      </c>
      <c r="E131" s="5">
        <v>12.06</v>
      </c>
      <c r="F131" s="14">
        <v>225</v>
      </c>
      <c r="G131" s="15">
        <v>2713.5</v>
      </c>
    </row>
    <row r="132" spans="1:7" x14ac:dyDescent="0.2">
      <c r="A132" s="13">
        <v>45631</v>
      </c>
      <c r="B132" s="5" t="s">
        <v>284</v>
      </c>
      <c r="C132" s="5" t="s">
        <v>12</v>
      </c>
      <c r="D132" s="5" t="s">
        <v>306</v>
      </c>
      <c r="E132" s="5">
        <v>11.2</v>
      </c>
      <c r="F132" s="14">
        <v>225</v>
      </c>
      <c r="G132" s="15">
        <v>2520</v>
      </c>
    </row>
    <row r="133" spans="1:7" x14ac:dyDescent="0.2">
      <c r="A133" s="13">
        <v>45634</v>
      </c>
      <c r="B133" s="5" t="s">
        <v>284</v>
      </c>
      <c r="C133" s="5" t="s">
        <v>12</v>
      </c>
      <c r="D133" s="5" t="s">
        <v>306</v>
      </c>
      <c r="E133" s="5">
        <v>10.6</v>
      </c>
      <c r="F133" s="14">
        <v>225</v>
      </c>
      <c r="G133" s="15">
        <v>2385</v>
      </c>
    </row>
    <row r="134" spans="1:7" x14ac:dyDescent="0.2">
      <c r="A134" s="13">
        <v>45635</v>
      </c>
      <c r="B134" s="5" t="s">
        <v>287</v>
      </c>
      <c r="C134" s="5" t="s">
        <v>12</v>
      </c>
      <c r="D134" s="5" t="s">
        <v>306</v>
      </c>
      <c r="E134" s="5">
        <v>9.92</v>
      </c>
      <c r="F134" s="14">
        <v>225</v>
      </c>
      <c r="G134" s="15">
        <v>2232</v>
      </c>
    </row>
    <row r="135" spans="1:7" x14ac:dyDescent="0.2">
      <c r="A135" s="13">
        <v>45639</v>
      </c>
      <c r="B135" s="5" t="s">
        <v>286</v>
      </c>
      <c r="C135" s="5" t="s">
        <v>12</v>
      </c>
      <c r="D135" s="5" t="s">
        <v>306</v>
      </c>
      <c r="E135" s="5">
        <v>14.04</v>
      </c>
      <c r="F135" s="14">
        <v>225</v>
      </c>
      <c r="G135" s="15">
        <v>3159</v>
      </c>
    </row>
    <row r="136" spans="1:7" x14ac:dyDescent="0.2">
      <c r="A136" s="13">
        <v>45641</v>
      </c>
      <c r="B136" s="5" t="s">
        <v>284</v>
      </c>
      <c r="C136" s="5" t="s">
        <v>12</v>
      </c>
      <c r="D136" s="5" t="s">
        <v>306</v>
      </c>
      <c r="E136" s="5">
        <v>12.76</v>
      </c>
      <c r="F136" s="14">
        <v>225</v>
      </c>
      <c r="G136" s="15">
        <v>2871</v>
      </c>
    </row>
    <row r="137" spans="1:7" x14ac:dyDescent="0.2">
      <c r="A137" s="13">
        <v>45645</v>
      </c>
      <c r="B137" s="5" t="s">
        <v>284</v>
      </c>
      <c r="C137" s="5" t="s">
        <v>12</v>
      </c>
      <c r="D137" s="5" t="s">
        <v>306</v>
      </c>
      <c r="E137" s="5">
        <v>13.03</v>
      </c>
      <c r="F137" s="14">
        <v>225</v>
      </c>
      <c r="G137" s="15">
        <v>2931.75</v>
      </c>
    </row>
    <row r="138" spans="1:7" x14ac:dyDescent="0.2">
      <c r="A138" s="13">
        <v>45646</v>
      </c>
      <c r="B138" s="5" t="s">
        <v>287</v>
      </c>
      <c r="C138" s="5" t="s">
        <v>12</v>
      </c>
      <c r="D138" s="5" t="s">
        <v>306</v>
      </c>
      <c r="E138" s="5">
        <v>5.91</v>
      </c>
      <c r="F138" s="14">
        <v>225</v>
      </c>
      <c r="G138" s="15">
        <v>1329.75</v>
      </c>
    </row>
    <row r="139" spans="1:7" x14ac:dyDescent="0.2">
      <c r="A139" s="13">
        <v>45650</v>
      </c>
      <c r="B139" s="5" t="s">
        <v>287</v>
      </c>
      <c r="C139" s="5" t="s">
        <v>12</v>
      </c>
      <c r="D139" s="5" t="s">
        <v>306</v>
      </c>
      <c r="E139" s="5">
        <v>9.41</v>
      </c>
      <c r="F139" s="14">
        <v>225</v>
      </c>
      <c r="G139" s="15">
        <v>2117.25</v>
      </c>
    </row>
    <row r="140" spans="1:7" x14ac:dyDescent="0.2">
      <c r="A140" s="13">
        <v>45651</v>
      </c>
      <c r="B140" s="5" t="s">
        <v>284</v>
      </c>
      <c r="C140" s="5" t="s">
        <v>12</v>
      </c>
      <c r="D140" s="5" t="s">
        <v>306</v>
      </c>
      <c r="E140" s="5">
        <v>7.64</v>
      </c>
      <c r="F140" s="14">
        <v>225</v>
      </c>
      <c r="G140" s="15">
        <v>1719</v>
      </c>
    </row>
    <row r="141" spans="1:7" x14ac:dyDescent="0.2">
      <c r="A141" s="13">
        <v>45652</v>
      </c>
      <c r="B141" s="5" t="s">
        <v>285</v>
      </c>
      <c r="C141" s="5" t="s">
        <v>12</v>
      </c>
      <c r="D141" s="5" t="s">
        <v>306</v>
      </c>
      <c r="E141" s="5">
        <v>13.34</v>
      </c>
      <c r="F141" s="14">
        <v>225</v>
      </c>
      <c r="G141" s="15">
        <v>3001.5</v>
      </c>
    </row>
    <row r="142" spans="1:7" x14ac:dyDescent="0.2">
      <c r="A142" s="13">
        <v>45654</v>
      </c>
      <c r="B142" s="5" t="s">
        <v>286</v>
      </c>
      <c r="C142" s="5" t="s">
        <v>12</v>
      </c>
      <c r="D142" s="5" t="s">
        <v>306</v>
      </c>
      <c r="E142" s="5">
        <v>8.07</v>
      </c>
      <c r="F142" s="14">
        <v>225</v>
      </c>
      <c r="G142" s="15">
        <v>1815.75</v>
      </c>
    </row>
    <row r="143" spans="1:7" x14ac:dyDescent="0.2">
      <c r="A143" s="17">
        <v>45654</v>
      </c>
      <c r="B143" s="6" t="s">
        <v>287</v>
      </c>
      <c r="C143" s="6" t="s">
        <v>12</v>
      </c>
      <c r="D143" s="6" t="s">
        <v>306</v>
      </c>
      <c r="E143" s="6">
        <v>12.1</v>
      </c>
      <c r="F143" s="18">
        <v>225</v>
      </c>
      <c r="G143" s="19">
        <v>2722.5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E7CA9-AF03-4F7E-A6BF-7E5B12EF60EC}">
  <sheetPr>
    <tabColor theme="5" tint="0.59999389629810485"/>
  </sheetPr>
  <dimension ref="B2:C17"/>
  <sheetViews>
    <sheetView showGridLines="0" workbookViewId="0"/>
  </sheetViews>
  <sheetFormatPr baseColWidth="10" defaultRowHeight="14.25" x14ac:dyDescent="0.2"/>
  <cols>
    <col min="2" max="2" width="24.125" bestFit="1" customWidth="1"/>
    <col min="3" max="3" width="12.5" bestFit="1" customWidth="1"/>
  </cols>
  <sheetData>
    <row r="2" spans="2:3" ht="15" x14ac:dyDescent="0.25">
      <c r="B2" s="34" t="s">
        <v>281</v>
      </c>
      <c r="C2" s="34"/>
    </row>
    <row r="4" spans="2:3" ht="15" x14ac:dyDescent="0.25">
      <c r="B4" s="8" t="s">
        <v>288</v>
      </c>
      <c r="C4" s="8">
        <v>2368.2676056338028</v>
      </c>
    </row>
    <row r="5" spans="2:3" x14ac:dyDescent="0.2">
      <c r="B5" t="s">
        <v>289</v>
      </c>
      <c r="C5">
        <v>62.202565041899391</v>
      </c>
    </row>
    <row r="6" spans="2:3" ht="15" x14ac:dyDescent="0.25">
      <c r="B6" s="8" t="s">
        <v>290</v>
      </c>
      <c r="C6" s="8">
        <v>2387.25</v>
      </c>
    </row>
    <row r="7" spans="2:3" ht="15" x14ac:dyDescent="0.25">
      <c r="B7" s="8" t="s">
        <v>291</v>
      </c>
      <c r="C7" s="8">
        <v>3363.75</v>
      </c>
    </row>
    <row r="8" spans="2:3" x14ac:dyDescent="0.2">
      <c r="B8" t="s">
        <v>292</v>
      </c>
      <c r="C8">
        <v>741.2291089038697</v>
      </c>
    </row>
    <row r="9" spans="2:3" x14ac:dyDescent="0.2">
      <c r="B9" t="s">
        <v>293</v>
      </c>
      <c r="C9">
        <v>549420.59188642481</v>
      </c>
    </row>
    <row r="10" spans="2:3" x14ac:dyDescent="0.2">
      <c r="B10" t="s">
        <v>294</v>
      </c>
      <c r="C10">
        <v>-1.0545646502798318</v>
      </c>
    </row>
    <row r="11" spans="2:3" x14ac:dyDescent="0.2">
      <c r="B11" t="s">
        <v>295</v>
      </c>
      <c r="C11">
        <v>-0.10346549142964458</v>
      </c>
    </row>
    <row r="12" spans="2:3" ht="15" x14ac:dyDescent="0.25">
      <c r="B12" s="8" t="s">
        <v>296</v>
      </c>
      <c r="C12" s="8">
        <v>2625.75</v>
      </c>
    </row>
    <row r="13" spans="2:3" ht="15" x14ac:dyDescent="0.25">
      <c r="B13" s="8" t="s">
        <v>297</v>
      </c>
      <c r="C13" s="8">
        <v>951.75000000000011</v>
      </c>
    </row>
    <row r="14" spans="2:3" ht="15" x14ac:dyDescent="0.25">
      <c r="B14" s="8" t="s">
        <v>298</v>
      </c>
      <c r="C14" s="8">
        <v>3577.5</v>
      </c>
    </row>
    <row r="15" spans="2:3" ht="15" x14ac:dyDescent="0.25">
      <c r="B15" s="8" t="s">
        <v>299</v>
      </c>
      <c r="C15" s="8">
        <v>336294</v>
      </c>
    </row>
    <row r="16" spans="2:3" ht="15" x14ac:dyDescent="0.25">
      <c r="B16" s="8" t="s">
        <v>300</v>
      </c>
      <c r="C16" s="8">
        <v>142</v>
      </c>
    </row>
    <row r="17" spans="2:3" ht="15" thickBot="1" x14ac:dyDescent="0.25">
      <c r="B17" s="7" t="s">
        <v>301</v>
      </c>
      <c r="C17" s="7">
        <v>122.9702095051514</v>
      </c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B097-6DA4-425A-B986-585039C498FC}">
  <sheetPr>
    <tabColor theme="8" tint="0.79998168889431442"/>
  </sheetPr>
  <dimension ref="A1:R143"/>
  <sheetViews>
    <sheetView workbookViewId="0">
      <selection activeCell="H2" sqref="H2:H76"/>
    </sheetView>
  </sheetViews>
  <sheetFormatPr baseColWidth="10" defaultRowHeight="14.25" x14ac:dyDescent="0.2"/>
  <cols>
    <col min="1" max="1" width="20.5" bestFit="1" customWidth="1"/>
    <col min="2" max="2" width="19.875" bestFit="1" customWidth="1"/>
    <col min="3" max="3" width="19.875" customWidth="1"/>
    <col min="4" max="4" width="19.25" bestFit="1" customWidth="1"/>
    <col min="5" max="5" width="30.125" bestFit="1" customWidth="1"/>
    <col min="6" max="6" width="15.5" bestFit="1" customWidth="1"/>
    <col min="7" max="7" width="24.25" bestFit="1" customWidth="1"/>
    <col min="8" max="8" width="24.125" bestFit="1" customWidth="1"/>
  </cols>
  <sheetData>
    <row r="1" spans="1:15" ht="15" x14ac:dyDescent="0.25">
      <c r="A1" s="2" t="s">
        <v>0</v>
      </c>
      <c r="B1" s="3" t="s">
        <v>283</v>
      </c>
      <c r="C1" s="3" t="s">
        <v>307</v>
      </c>
      <c r="D1" s="3" t="s">
        <v>1</v>
      </c>
      <c r="E1" s="3" t="s">
        <v>282</v>
      </c>
      <c r="F1" s="3" t="s">
        <v>2</v>
      </c>
      <c r="G1" s="3" t="s">
        <v>280</v>
      </c>
      <c r="H1" s="4" t="s">
        <v>281</v>
      </c>
    </row>
    <row r="2" spans="1:15" x14ac:dyDescent="0.2">
      <c r="A2" s="13">
        <v>45295</v>
      </c>
      <c r="B2" s="5" t="s">
        <v>284</v>
      </c>
      <c r="C2" s="5">
        <v>97</v>
      </c>
      <c r="D2" s="5" t="s">
        <v>12</v>
      </c>
      <c r="E2" s="5" t="s">
        <v>306</v>
      </c>
      <c r="F2" s="5">
        <v>10.67</v>
      </c>
      <c r="G2" s="14">
        <v>225</v>
      </c>
      <c r="H2" s="15">
        <v>2400.75</v>
      </c>
    </row>
    <row r="3" spans="1:15" x14ac:dyDescent="0.2">
      <c r="A3" s="13">
        <v>45296</v>
      </c>
      <c r="B3" s="5" t="s">
        <v>287</v>
      </c>
      <c r="C3" s="5">
        <v>133</v>
      </c>
      <c r="D3" s="5" t="s">
        <v>12</v>
      </c>
      <c r="E3" s="5" t="s">
        <v>306</v>
      </c>
      <c r="F3" s="5">
        <v>15.27</v>
      </c>
      <c r="G3" s="14">
        <v>225</v>
      </c>
      <c r="H3" s="15">
        <v>3435.75</v>
      </c>
    </row>
    <row r="4" spans="1:15" x14ac:dyDescent="0.2">
      <c r="A4" s="13">
        <v>45298</v>
      </c>
      <c r="B4" s="5" t="s">
        <v>285</v>
      </c>
      <c r="C4" s="5">
        <v>79</v>
      </c>
      <c r="D4" s="5" t="s">
        <v>12</v>
      </c>
      <c r="E4" s="5" t="s">
        <v>306</v>
      </c>
      <c r="F4" s="5">
        <v>10.62</v>
      </c>
      <c r="G4" s="14">
        <v>225</v>
      </c>
      <c r="H4" s="15">
        <v>2389.5</v>
      </c>
      <c r="J4" s="20"/>
      <c r="K4" s="20"/>
    </row>
    <row r="5" spans="1:15" x14ac:dyDescent="0.2">
      <c r="A5" s="13">
        <v>45302</v>
      </c>
      <c r="B5" s="5" t="s">
        <v>284</v>
      </c>
      <c r="C5" s="5">
        <v>11</v>
      </c>
      <c r="D5" s="5" t="s">
        <v>12</v>
      </c>
      <c r="E5" s="5" t="s">
        <v>306</v>
      </c>
      <c r="F5" s="5">
        <v>14.95</v>
      </c>
      <c r="G5" s="14">
        <v>225</v>
      </c>
      <c r="H5" s="15">
        <v>3363.75</v>
      </c>
    </row>
    <row r="6" spans="1:15" x14ac:dyDescent="0.2">
      <c r="A6" s="13">
        <v>45304</v>
      </c>
      <c r="B6" s="5" t="s">
        <v>285</v>
      </c>
      <c r="C6" s="5">
        <v>57</v>
      </c>
      <c r="D6" s="5" t="s">
        <v>12</v>
      </c>
      <c r="E6" s="5" t="s">
        <v>306</v>
      </c>
      <c r="F6" s="5">
        <v>12.15</v>
      </c>
      <c r="G6" s="14">
        <v>225</v>
      </c>
      <c r="H6" s="15">
        <v>2733.75</v>
      </c>
    </row>
    <row r="7" spans="1:15" x14ac:dyDescent="0.2">
      <c r="A7" s="13">
        <v>45305</v>
      </c>
      <c r="B7" s="5" t="s">
        <v>287</v>
      </c>
      <c r="C7" s="5">
        <v>153</v>
      </c>
      <c r="D7" s="5" t="s">
        <v>12</v>
      </c>
      <c r="E7" s="5" t="s">
        <v>306</v>
      </c>
      <c r="F7" s="5">
        <v>5.34</v>
      </c>
      <c r="G7" s="14">
        <v>225</v>
      </c>
      <c r="H7" s="15">
        <v>1201.5</v>
      </c>
    </row>
    <row r="8" spans="1:15" x14ac:dyDescent="0.2">
      <c r="A8" s="13">
        <v>45306</v>
      </c>
      <c r="B8" s="5" t="s">
        <v>287</v>
      </c>
      <c r="C8" s="5">
        <v>205</v>
      </c>
      <c r="D8" s="5" t="s">
        <v>12</v>
      </c>
      <c r="E8" s="5" t="s">
        <v>306</v>
      </c>
      <c r="F8" s="5">
        <v>12.94</v>
      </c>
      <c r="G8" s="14">
        <v>225</v>
      </c>
      <c r="H8" s="15">
        <v>2911.5</v>
      </c>
    </row>
    <row r="9" spans="1:15" x14ac:dyDescent="0.2">
      <c r="A9" s="13">
        <v>45311</v>
      </c>
      <c r="B9" s="5" t="s">
        <v>286</v>
      </c>
      <c r="C9" s="5">
        <v>110</v>
      </c>
      <c r="D9" s="5" t="s">
        <v>12</v>
      </c>
      <c r="E9" s="5" t="s">
        <v>306</v>
      </c>
      <c r="F9" s="5">
        <v>9.1999999999999993</v>
      </c>
      <c r="G9" s="14">
        <v>225</v>
      </c>
      <c r="H9" s="15">
        <v>2070</v>
      </c>
    </row>
    <row r="10" spans="1:15" x14ac:dyDescent="0.2">
      <c r="A10" s="13">
        <v>45314</v>
      </c>
      <c r="B10" s="5" t="s">
        <v>285</v>
      </c>
      <c r="C10" s="5">
        <v>85</v>
      </c>
      <c r="D10" s="5" t="s">
        <v>12</v>
      </c>
      <c r="E10" s="5" t="s">
        <v>306</v>
      </c>
      <c r="F10" s="5">
        <v>15.6</v>
      </c>
      <c r="G10" s="14">
        <v>225</v>
      </c>
      <c r="H10" s="15">
        <v>3510</v>
      </c>
    </row>
    <row r="11" spans="1:15" x14ac:dyDescent="0.2">
      <c r="A11" s="13">
        <v>45316</v>
      </c>
      <c r="B11" s="5" t="s">
        <v>284</v>
      </c>
      <c r="C11" s="5">
        <v>57</v>
      </c>
      <c r="D11" s="5" t="s">
        <v>12</v>
      </c>
      <c r="E11" s="5" t="s">
        <v>306</v>
      </c>
      <c r="F11" s="5">
        <v>9.23</v>
      </c>
      <c r="G11" s="14">
        <v>225</v>
      </c>
      <c r="H11" s="15">
        <v>2076.75</v>
      </c>
    </row>
    <row r="12" spans="1:15" x14ac:dyDescent="0.2">
      <c r="A12" s="13">
        <v>45321</v>
      </c>
      <c r="B12" s="5" t="s">
        <v>284</v>
      </c>
      <c r="C12" s="5">
        <v>51</v>
      </c>
      <c r="D12" s="5" t="s">
        <v>12</v>
      </c>
      <c r="E12" s="5" t="s">
        <v>306</v>
      </c>
      <c r="F12" s="5">
        <v>8.49</v>
      </c>
      <c r="G12" s="14">
        <v>225</v>
      </c>
      <c r="H12" s="15">
        <v>1910.25</v>
      </c>
      <c r="J12" s="21"/>
      <c r="K12" s="21"/>
      <c r="L12" s="21"/>
      <c r="M12" s="21"/>
      <c r="N12" s="21"/>
      <c r="O12" s="21"/>
    </row>
    <row r="13" spans="1:15" x14ac:dyDescent="0.2">
      <c r="A13" s="13">
        <v>45324</v>
      </c>
      <c r="B13" s="5" t="s">
        <v>286</v>
      </c>
      <c r="C13" s="5">
        <v>158</v>
      </c>
      <c r="D13" s="5" t="s">
        <v>12</v>
      </c>
      <c r="E13" s="5" t="s">
        <v>306</v>
      </c>
      <c r="F13" s="5">
        <v>11.55</v>
      </c>
      <c r="G13" s="14">
        <v>225</v>
      </c>
      <c r="H13" s="15">
        <v>2598.75</v>
      </c>
    </row>
    <row r="14" spans="1:15" x14ac:dyDescent="0.2">
      <c r="A14" s="13">
        <v>45326</v>
      </c>
      <c r="B14" s="5" t="s">
        <v>284</v>
      </c>
      <c r="C14" s="5">
        <v>116</v>
      </c>
      <c r="D14" s="5" t="s">
        <v>12</v>
      </c>
      <c r="E14" s="5" t="s">
        <v>306</v>
      </c>
      <c r="F14" s="5">
        <v>12.19</v>
      </c>
      <c r="G14" s="14">
        <v>225</v>
      </c>
      <c r="H14" s="15">
        <v>2742.75</v>
      </c>
    </row>
    <row r="15" spans="1:15" x14ac:dyDescent="0.2">
      <c r="A15" s="13">
        <v>45327</v>
      </c>
      <c r="B15" s="5" t="s">
        <v>284</v>
      </c>
      <c r="C15" s="5">
        <v>57</v>
      </c>
      <c r="D15" s="5" t="s">
        <v>12</v>
      </c>
      <c r="E15" s="5" t="s">
        <v>306</v>
      </c>
      <c r="F15" s="5">
        <v>9.6300000000000008</v>
      </c>
      <c r="G15" s="14">
        <v>225</v>
      </c>
      <c r="H15" s="15">
        <v>2166.75</v>
      </c>
    </row>
    <row r="16" spans="1:15" x14ac:dyDescent="0.2">
      <c r="A16" s="13">
        <v>45327</v>
      </c>
      <c r="B16" s="5" t="s">
        <v>284</v>
      </c>
      <c r="C16" s="5">
        <v>68</v>
      </c>
      <c r="D16" s="5" t="s">
        <v>12</v>
      </c>
      <c r="E16" s="5" t="s">
        <v>306</v>
      </c>
      <c r="F16" s="5">
        <v>6.53</v>
      </c>
      <c r="G16" s="14">
        <v>225</v>
      </c>
      <c r="H16" s="15">
        <v>1469.25</v>
      </c>
    </row>
    <row r="17" spans="1:18" x14ac:dyDescent="0.2">
      <c r="A17" s="13">
        <v>45330</v>
      </c>
      <c r="B17" s="5" t="s">
        <v>284</v>
      </c>
      <c r="C17" s="5">
        <v>131</v>
      </c>
      <c r="D17" s="5" t="s">
        <v>12</v>
      </c>
      <c r="E17" s="5" t="s">
        <v>306</v>
      </c>
      <c r="F17" s="5">
        <v>11.02</v>
      </c>
      <c r="G17" s="14">
        <v>225</v>
      </c>
      <c r="H17" s="15">
        <v>2479.5</v>
      </c>
      <c r="J17" s="21"/>
      <c r="K17" s="21"/>
      <c r="L17" s="21"/>
      <c r="M17" s="21"/>
      <c r="N17" s="21"/>
      <c r="O17" s="21"/>
      <c r="P17" s="21"/>
      <c r="Q17" s="21"/>
      <c r="R17" s="21"/>
    </row>
    <row r="18" spans="1:18" x14ac:dyDescent="0.2">
      <c r="A18" s="13">
        <v>45332</v>
      </c>
      <c r="B18" s="5" t="s">
        <v>285</v>
      </c>
      <c r="C18" s="5">
        <v>44</v>
      </c>
      <c r="D18" s="5" t="s">
        <v>12</v>
      </c>
      <c r="E18" s="5" t="s">
        <v>306</v>
      </c>
      <c r="F18" s="5">
        <v>11</v>
      </c>
      <c r="G18" s="14">
        <v>225</v>
      </c>
      <c r="H18" s="15">
        <v>2475</v>
      </c>
    </row>
    <row r="19" spans="1:18" x14ac:dyDescent="0.2">
      <c r="A19" s="13">
        <v>45333</v>
      </c>
      <c r="B19" s="5" t="s">
        <v>284</v>
      </c>
      <c r="C19" s="5">
        <v>99</v>
      </c>
      <c r="D19" s="5" t="s">
        <v>12</v>
      </c>
      <c r="E19" s="5" t="s">
        <v>306</v>
      </c>
      <c r="F19" s="5">
        <v>5.77</v>
      </c>
      <c r="G19" s="14">
        <v>225</v>
      </c>
      <c r="H19" s="15">
        <v>1298.25</v>
      </c>
    </row>
    <row r="20" spans="1:18" x14ac:dyDescent="0.2">
      <c r="A20" s="13">
        <v>45335</v>
      </c>
      <c r="B20" s="5" t="s">
        <v>286</v>
      </c>
      <c r="C20" s="5">
        <v>99</v>
      </c>
      <c r="D20" s="5" t="s">
        <v>12</v>
      </c>
      <c r="E20" s="5" t="s">
        <v>306</v>
      </c>
      <c r="F20" s="5">
        <v>7.69</v>
      </c>
      <c r="G20" s="14">
        <v>225</v>
      </c>
      <c r="H20" s="15">
        <v>1730.25</v>
      </c>
    </row>
    <row r="21" spans="1:18" x14ac:dyDescent="0.2">
      <c r="A21" s="13">
        <v>45340</v>
      </c>
      <c r="B21" s="5" t="s">
        <v>287</v>
      </c>
      <c r="C21" s="5">
        <v>191</v>
      </c>
      <c r="D21" s="5" t="s">
        <v>12</v>
      </c>
      <c r="E21" s="5" t="s">
        <v>306</v>
      </c>
      <c r="F21" s="5">
        <v>6.77</v>
      </c>
      <c r="G21" s="14">
        <v>225</v>
      </c>
      <c r="H21" s="15">
        <v>1523.25</v>
      </c>
    </row>
    <row r="22" spans="1:18" x14ac:dyDescent="0.2">
      <c r="A22" s="13">
        <v>45340</v>
      </c>
      <c r="B22" s="5" t="s">
        <v>285</v>
      </c>
      <c r="C22" s="5">
        <v>121</v>
      </c>
      <c r="D22" s="5" t="s">
        <v>12</v>
      </c>
      <c r="E22" s="5" t="s">
        <v>306</v>
      </c>
      <c r="F22" s="5">
        <v>9.9499999999999993</v>
      </c>
      <c r="G22" s="14">
        <v>225</v>
      </c>
      <c r="H22" s="15">
        <v>2238.75</v>
      </c>
    </row>
    <row r="23" spans="1:18" x14ac:dyDescent="0.2">
      <c r="A23" s="13">
        <v>45342</v>
      </c>
      <c r="B23" s="5" t="s">
        <v>284</v>
      </c>
      <c r="C23" s="5">
        <v>99</v>
      </c>
      <c r="D23" s="5" t="s">
        <v>12</v>
      </c>
      <c r="E23" s="5" t="s">
        <v>306</v>
      </c>
      <c r="F23" s="5">
        <v>5.99</v>
      </c>
      <c r="G23" s="14">
        <v>225</v>
      </c>
      <c r="H23" s="15">
        <v>1347.75</v>
      </c>
    </row>
    <row r="24" spans="1:18" x14ac:dyDescent="0.2">
      <c r="A24" s="13">
        <v>45342</v>
      </c>
      <c r="B24" s="5" t="s">
        <v>287</v>
      </c>
      <c r="C24" s="5">
        <v>170</v>
      </c>
      <c r="D24" s="5" t="s">
        <v>12</v>
      </c>
      <c r="E24" s="5" t="s">
        <v>306</v>
      </c>
      <c r="F24" s="5">
        <v>6.52</v>
      </c>
      <c r="G24" s="14">
        <v>225</v>
      </c>
      <c r="H24" s="15">
        <v>1467</v>
      </c>
    </row>
    <row r="25" spans="1:18" x14ac:dyDescent="0.2">
      <c r="A25" s="13">
        <v>45344</v>
      </c>
      <c r="B25" s="5" t="s">
        <v>285</v>
      </c>
      <c r="C25" s="5">
        <v>106</v>
      </c>
      <c r="D25" s="5" t="s">
        <v>12</v>
      </c>
      <c r="E25" s="5" t="s">
        <v>306</v>
      </c>
      <c r="F25" s="5">
        <v>8.59</v>
      </c>
      <c r="G25" s="14">
        <v>225</v>
      </c>
      <c r="H25" s="15">
        <v>1932.75</v>
      </c>
    </row>
    <row r="26" spans="1:18" x14ac:dyDescent="0.2">
      <c r="A26" s="13">
        <v>45352</v>
      </c>
      <c r="B26" s="5" t="s">
        <v>286</v>
      </c>
      <c r="C26" s="5">
        <v>161</v>
      </c>
      <c r="D26" s="5" t="s">
        <v>12</v>
      </c>
      <c r="E26" s="5" t="s">
        <v>306</v>
      </c>
      <c r="F26" s="5">
        <v>15.04</v>
      </c>
      <c r="G26" s="14">
        <v>225</v>
      </c>
      <c r="H26" s="15">
        <v>3384</v>
      </c>
    </row>
    <row r="27" spans="1:18" x14ac:dyDescent="0.2">
      <c r="A27" s="13">
        <v>45352</v>
      </c>
      <c r="B27" s="5" t="s">
        <v>287</v>
      </c>
      <c r="C27" s="5">
        <v>158</v>
      </c>
      <c r="D27" s="5" t="s">
        <v>12</v>
      </c>
      <c r="E27" s="5" t="s">
        <v>306</v>
      </c>
      <c r="F27" s="5">
        <v>9.86</v>
      </c>
      <c r="G27" s="14">
        <v>225</v>
      </c>
      <c r="H27" s="15">
        <v>2218.5</v>
      </c>
    </row>
    <row r="28" spans="1:18" x14ac:dyDescent="0.2">
      <c r="A28" s="16">
        <v>45353</v>
      </c>
      <c r="B28" s="5" t="s">
        <v>286</v>
      </c>
      <c r="C28" s="5">
        <v>175</v>
      </c>
      <c r="D28" s="5" t="s">
        <v>12</v>
      </c>
      <c r="E28" s="5" t="s">
        <v>306</v>
      </c>
      <c r="F28" s="5">
        <v>14.54</v>
      </c>
      <c r="G28" s="14">
        <v>225</v>
      </c>
      <c r="H28" s="15">
        <v>3271.5</v>
      </c>
    </row>
    <row r="29" spans="1:18" x14ac:dyDescent="0.2">
      <c r="A29" s="13">
        <v>45362</v>
      </c>
      <c r="B29" s="5" t="s">
        <v>285</v>
      </c>
      <c r="C29" s="5">
        <v>159</v>
      </c>
      <c r="D29" s="5" t="s">
        <v>12</v>
      </c>
      <c r="E29" s="5" t="s">
        <v>306</v>
      </c>
      <c r="F29" s="5">
        <v>8.89</v>
      </c>
      <c r="G29" s="14">
        <v>225</v>
      </c>
      <c r="H29" s="15">
        <v>2000.2500000000002</v>
      </c>
    </row>
    <row r="30" spans="1:18" x14ac:dyDescent="0.2">
      <c r="A30" s="13">
        <v>45365</v>
      </c>
      <c r="B30" s="5" t="s">
        <v>287</v>
      </c>
      <c r="C30" s="5">
        <v>209</v>
      </c>
      <c r="D30" s="5" t="s">
        <v>12</v>
      </c>
      <c r="E30" s="5" t="s">
        <v>306</v>
      </c>
      <c r="F30" s="5">
        <v>15.74</v>
      </c>
      <c r="G30" s="14">
        <v>225</v>
      </c>
      <c r="H30" s="15">
        <v>3541.5</v>
      </c>
    </row>
    <row r="31" spans="1:18" x14ac:dyDescent="0.2">
      <c r="A31" s="13">
        <v>45369</v>
      </c>
      <c r="B31" s="5" t="s">
        <v>284</v>
      </c>
      <c r="C31" s="5">
        <v>19</v>
      </c>
      <c r="D31" s="5" t="s">
        <v>12</v>
      </c>
      <c r="E31" s="5" t="s">
        <v>306</v>
      </c>
      <c r="F31" s="5">
        <v>15.44</v>
      </c>
      <c r="G31" s="14">
        <v>225</v>
      </c>
      <c r="H31" s="15">
        <v>3474</v>
      </c>
    </row>
    <row r="32" spans="1:18" x14ac:dyDescent="0.2">
      <c r="A32" s="13">
        <v>45369</v>
      </c>
      <c r="B32" s="5" t="s">
        <v>287</v>
      </c>
      <c r="C32" s="5">
        <v>90</v>
      </c>
      <c r="D32" s="5" t="s">
        <v>12</v>
      </c>
      <c r="E32" s="5" t="s">
        <v>306</v>
      </c>
      <c r="F32" s="5">
        <v>13.6</v>
      </c>
      <c r="G32" s="14">
        <v>225</v>
      </c>
      <c r="H32" s="15">
        <v>3060</v>
      </c>
    </row>
    <row r="33" spans="1:8" x14ac:dyDescent="0.2">
      <c r="A33" s="13">
        <v>45370</v>
      </c>
      <c r="B33" s="5" t="s">
        <v>286</v>
      </c>
      <c r="C33" s="5">
        <v>145</v>
      </c>
      <c r="D33" s="5" t="s">
        <v>12</v>
      </c>
      <c r="E33" s="5" t="s">
        <v>306</v>
      </c>
      <c r="F33" s="5">
        <v>11.41</v>
      </c>
      <c r="G33" s="14">
        <v>225</v>
      </c>
      <c r="H33" s="15">
        <v>2567.25</v>
      </c>
    </row>
    <row r="34" spans="1:8" x14ac:dyDescent="0.2">
      <c r="A34" s="13">
        <v>45372</v>
      </c>
      <c r="B34" s="5" t="s">
        <v>284</v>
      </c>
      <c r="C34" s="5">
        <v>79</v>
      </c>
      <c r="D34" s="5" t="s">
        <v>12</v>
      </c>
      <c r="E34" s="5" t="s">
        <v>306</v>
      </c>
      <c r="F34" s="5">
        <v>7.14</v>
      </c>
      <c r="G34" s="14">
        <v>225</v>
      </c>
      <c r="H34" s="15">
        <v>1606.5</v>
      </c>
    </row>
    <row r="35" spans="1:8" x14ac:dyDescent="0.2">
      <c r="A35" s="13">
        <v>45378</v>
      </c>
      <c r="B35" s="5" t="s">
        <v>285</v>
      </c>
      <c r="C35" s="5">
        <v>108</v>
      </c>
      <c r="D35" s="5" t="s">
        <v>12</v>
      </c>
      <c r="E35" s="5" t="s">
        <v>306</v>
      </c>
      <c r="F35" s="5">
        <v>10.18</v>
      </c>
      <c r="G35" s="14">
        <v>225</v>
      </c>
      <c r="H35" s="15">
        <v>2290.5</v>
      </c>
    </row>
    <row r="36" spans="1:8" x14ac:dyDescent="0.2">
      <c r="A36" s="13">
        <v>45379</v>
      </c>
      <c r="B36" s="5" t="s">
        <v>284</v>
      </c>
      <c r="C36" s="5">
        <v>45</v>
      </c>
      <c r="D36" s="5" t="s">
        <v>12</v>
      </c>
      <c r="E36" s="5" t="s">
        <v>306</v>
      </c>
      <c r="F36" s="5">
        <v>9.7200000000000006</v>
      </c>
      <c r="G36" s="14">
        <v>225</v>
      </c>
      <c r="H36" s="15">
        <v>2187</v>
      </c>
    </row>
    <row r="37" spans="1:8" x14ac:dyDescent="0.2">
      <c r="A37" s="13">
        <v>45386</v>
      </c>
      <c r="B37" s="5" t="s">
        <v>284</v>
      </c>
      <c r="C37" s="5">
        <v>27</v>
      </c>
      <c r="D37" s="5" t="s">
        <v>12</v>
      </c>
      <c r="E37" s="5" t="s">
        <v>306</v>
      </c>
      <c r="F37" s="5">
        <v>6.45</v>
      </c>
      <c r="G37" s="14">
        <v>225</v>
      </c>
      <c r="H37" s="15">
        <v>1451.25</v>
      </c>
    </row>
    <row r="38" spans="1:8" x14ac:dyDescent="0.2">
      <c r="A38" s="13">
        <v>45386</v>
      </c>
      <c r="B38" s="5" t="s">
        <v>285</v>
      </c>
      <c r="C38" s="5">
        <v>87</v>
      </c>
      <c r="D38" s="5" t="s">
        <v>12</v>
      </c>
      <c r="E38" s="5" t="s">
        <v>306</v>
      </c>
      <c r="F38" s="5">
        <v>13.04</v>
      </c>
      <c r="G38" s="14">
        <v>225</v>
      </c>
      <c r="H38" s="15">
        <v>2934</v>
      </c>
    </row>
    <row r="39" spans="1:8" x14ac:dyDescent="0.2">
      <c r="A39" s="13">
        <v>45391</v>
      </c>
      <c r="B39" s="5" t="s">
        <v>287</v>
      </c>
      <c r="C39" s="5">
        <v>136</v>
      </c>
      <c r="D39" s="5" t="s">
        <v>12</v>
      </c>
      <c r="E39" s="5" t="s">
        <v>306</v>
      </c>
      <c r="F39" s="5">
        <v>4.96</v>
      </c>
      <c r="G39" s="14">
        <v>225</v>
      </c>
      <c r="H39" s="15">
        <v>1116</v>
      </c>
    </row>
    <row r="40" spans="1:8" x14ac:dyDescent="0.2">
      <c r="A40" s="13">
        <v>45393</v>
      </c>
      <c r="B40" s="5" t="s">
        <v>285</v>
      </c>
      <c r="C40" s="5">
        <v>30</v>
      </c>
      <c r="D40" s="5" t="s">
        <v>12</v>
      </c>
      <c r="E40" s="5" t="s">
        <v>306</v>
      </c>
      <c r="F40" s="5">
        <v>5.13</v>
      </c>
      <c r="G40" s="14">
        <v>225</v>
      </c>
      <c r="H40" s="15">
        <v>1154.25</v>
      </c>
    </row>
    <row r="41" spans="1:8" x14ac:dyDescent="0.2">
      <c r="A41" s="13">
        <v>45395</v>
      </c>
      <c r="B41" s="5" t="s">
        <v>284</v>
      </c>
      <c r="C41" s="5">
        <v>115</v>
      </c>
      <c r="D41" s="5" t="s">
        <v>12</v>
      </c>
      <c r="E41" s="5" t="s">
        <v>306</v>
      </c>
      <c r="F41" s="5">
        <v>15.26</v>
      </c>
      <c r="G41" s="14">
        <v>225</v>
      </c>
      <c r="H41" s="15">
        <v>3433.5</v>
      </c>
    </row>
    <row r="42" spans="1:8" x14ac:dyDescent="0.2">
      <c r="A42" s="13">
        <v>45397</v>
      </c>
      <c r="B42" s="5" t="s">
        <v>287</v>
      </c>
      <c r="C42" s="5">
        <v>185</v>
      </c>
      <c r="D42" s="5" t="s">
        <v>12</v>
      </c>
      <c r="E42" s="5" t="s">
        <v>306</v>
      </c>
      <c r="F42" s="5">
        <v>8.0399999999999991</v>
      </c>
      <c r="G42" s="14">
        <v>225</v>
      </c>
      <c r="H42" s="15">
        <v>1808.9999999999998</v>
      </c>
    </row>
    <row r="43" spans="1:8" x14ac:dyDescent="0.2">
      <c r="A43" s="13">
        <v>45398</v>
      </c>
      <c r="B43" s="5" t="s">
        <v>286</v>
      </c>
      <c r="C43" s="5">
        <v>126</v>
      </c>
      <c r="D43" s="5" t="s">
        <v>12</v>
      </c>
      <c r="E43" s="5" t="s">
        <v>306</v>
      </c>
      <c r="F43" s="5">
        <v>14.95</v>
      </c>
      <c r="G43" s="14">
        <v>225</v>
      </c>
      <c r="H43" s="15">
        <v>3363.75</v>
      </c>
    </row>
    <row r="44" spans="1:8" x14ac:dyDescent="0.2">
      <c r="A44" s="13">
        <v>45399</v>
      </c>
      <c r="B44" s="5" t="s">
        <v>286</v>
      </c>
      <c r="C44" s="5">
        <v>169</v>
      </c>
      <c r="D44" s="5" t="s">
        <v>12</v>
      </c>
      <c r="E44" s="5" t="s">
        <v>306</v>
      </c>
      <c r="F44" s="5">
        <v>9.8800000000000008</v>
      </c>
      <c r="G44" s="14">
        <v>225</v>
      </c>
      <c r="H44" s="15">
        <v>2223</v>
      </c>
    </row>
    <row r="45" spans="1:8" x14ac:dyDescent="0.2">
      <c r="A45" s="13">
        <v>45404</v>
      </c>
      <c r="B45" s="5" t="s">
        <v>287</v>
      </c>
      <c r="C45" s="5">
        <v>169</v>
      </c>
      <c r="D45" s="5" t="s">
        <v>12</v>
      </c>
      <c r="E45" s="5" t="s">
        <v>306</v>
      </c>
      <c r="F45" s="5">
        <v>15.24</v>
      </c>
      <c r="G45" s="14">
        <v>225</v>
      </c>
      <c r="H45" s="15">
        <v>3429</v>
      </c>
    </row>
    <row r="46" spans="1:8" x14ac:dyDescent="0.2">
      <c r="A46" s="13">
        <v>45407</v>
      </c>
      <c r="B46" s="5" t="s">
        <v>285</v>
      </c>
      <c r="C46" s="5">
        <v>30</v>
      </c>
      <c r="D46" s="5" t="s">
        <v>12</v>
      </c>
      <c r="E46" s="5" t="s">
        <v>306</v>
      </c>
      <c r="F46" s="5">
        <v>6.44</v>
      </c>
      <c r="G46" s="14">
        <v>225</v>
      </c>
      <c r="H46" s="15">
        <v>1449</v>
      </c>
    </row>
    <row r="47" spans="1:8" x14ac:dyDescent="0.2">
      <c r="A47" s="13">
        <v>45408</v>
      </c>
      <c r="B47" s="5" t="s">
        <v>286</v>
      </c>
      <c r="C47" s="5">
        <v>114</v>
      </c>
      <c r="D47" s="5" t="s">
        <v>12</v>
      </c>
      <c r="E47" s="5" t="s">
        <v>306</v>
      </c>
      <c r="F47" s="5">
        <v>15.9</v>
      </c>
      <c r="G47" s="14">
        <v>225</v>
      </c>
      <c r="H47" s="15">
        <v>3577.5</v>
      </c>
    </row>
    <row r="48" spans="1:8" x14ac:dyDescent="0.2">
      <c r="A48" s="16">
        <v>45408</v>
      </c>
      <c r="B48" s="5" t="s">
        <v>287</v>
      </c>
      <c r="C48" s="5">
        <v>203</v>
      </c>
      <c r="D48" s="5" t="s">
        <v>12</v>
      </c>
      <c r="E48" s="5" t="s">
        <v>306</v>
      </c>
      <c r="F48" s="5">
        <v>15.46</v>
      </c>
      <c r="G48" s="14">
        <v>225</v>
      </c>
      <c r="H48" s="15">
        <v>3478.5</v>
      </c>
    </row>
    <row r="49" spans="1:8" x14ac:dyDescent="0.2">
      <c r="A49" s="13">
        <v>45411</v>
      </c>
      <c r="B49" s="5" t="s">
        <v>284</v>
      </c>
      <c r="C49" s="5">
        <v>47</v>
      </c>
      <c r="D49" s="5" t="s">
        <v>12</v>
      </c>
      <c r="E49" s="5" t="s">
        <v>306</v>
      </c>
      <c r="F49" s="5">
        <v>12.52</v>
      </c>
      <c r="G49" s="14">
        <v>225</v>
      </c>
      <c r="H49" s="15">
        <v>2817</v>
      </c>
    </row>
    <row r="50" spans="1:8" x14ac:dyDescent="0.2">
      <c r="A50" s="13">
        <v>45413</v>
      </c>
      <c r="B50" s="5" t="s">
        <v>286</v>
      </c>
      <c r="C50" s="5">
        <v>115</v>
      </c>
      <c r="D50" s="5" t="s">
        <v>12</v>
      </c>
      <c r="E50" s="5" t="s">
        <v>306</v>
      </c>
      <c r="F50" s="5">
        <v>4.2300000000000004</v>
      </c>
      <c r="G50" s="14">
        <v>225</v>
      </c>
      <c r="H50" s="15">
        <v>951.75000000000011</v>
      </c>
    </row>
    <row r="51" spans="1:8" x14ac:dyDescent="0.2">
      <c r="A51" s="13">
        <v>45414</v>
      </c>
      <c r="B51" s="5" t="s">
        <v>286</v>
      </c>
      <c r="C51" s="5">
        <v>88</v>
      </c>
      <c r="D51" s="5" t="s">
        <v>12</v>
      </c>
      <c r="E51" s="5" t="s">
        <v>306</v>
      </c>
      <c r="F51" s="5">
        <v>7.77</v>
      </c>
      <c r="G51" s="14">
        <v>225</v>
      </c>
      <c r="H51" s="15">
        <v>1748.25</v>
      </c>
    </row>
    <row r="52" spans="1:8" x14ac:dyDescent="0.2">
      <c r="A52" s="13">
        <v>45415</v>
      </c>
      <c r="B52" s="5" t="s">
        <v>287</v>
      </c>
      <c r="C52" s="5">
        <v>194</v>
      </c>
      <c r="D52" s="5" t="s">
        <v>12</v>
      </c>
      <c r="E52" s="5" t="s">
        <v>306</v>
      </c>
      <c r="F52" s="5">
        <v>12.16</v>
      </c>
      <c r="G52" s="14">
        <v>225</v>
      </c>
      <c r="H52" s="15">
        <v>2736</v>
      </c>
    </row>
    <row r="53" spans="1:8" x14ac:dyDescent="0.2">
      <c r="A53" s="13">
        <v>45416</v>
      </c>
      <c r="B53" s="5" t="s">
        <v>287</v>
      </c>
      <c r="C53" s="5">
        <v>199</v>
      </c>
      <c r="D53" s="5" t="s">
        <v>12</v>
      </c>
      <c r="E53" s="5" t="s">
        <v>306</v>
      </c>
      <c r="F53" s="5">
        <v>9.3699999999999992</v>
      </c>
      <c r="G53" s="14">
        <v>225</v>
      </c>
      <c r="H53" s="15">
        <v>2108.25</v>
      </c>
    </row>
    <row r="54" spans="1:8" x14ac:dyDescent="0.2">
      <c r="A54" s="16">
        <v>45416</v>
      </c>
      <c r="B54" s="5" t="s">
        <v>285</v>
      </c>
      <c r="C54" s="5">
        <v>148</v>
      </c>
      <c r="D54" s="5" t="s">
        <v>12</v>
      </c>
      <c r="E54" s="5" t="s">
        <v>306</v>
      </c>
      <c r="F54" s="5">
        <v>11.8</v>
      </c>
      <c r="G54" s="14">
        <v>225</v>
      </c>
      <c r="H54" s="15">
        <v>2655</v>
      </c>
    </row>
    <row r="55" spans="1:8" x14ac:dyDescent="0.2">
      <c r="A55" s="13">
        <v>45418</v>
      </c>
      <c r="B55" s="5" t="s">
        <v>287</v>
      </c>
      <c r="C55" s="5">
        <v>167</v>
      </c>
      <c r="D55" s="5" t="s">
        <v>12</v>
      </c>
      <c r="E55" s="5" t="s">
        <v>306</v>
      </c>
      <c r="F55" s="5">
        <v>13.03</v>
      </c>
      <c r="G55" s="14">
        <v>225</v>
      </c>
      <c r="H55" s="15">
        <v>2931.75</v>
      </c>
    </row>
    <row r="56" spans="1:8" x14ac:dyDescent="0.2">
      <c r="A56" s="13">
        <v>45421</v>
      </c>
      <c r="B56" s="5" t="s">
        <v>286</v>
      </c>
      <c r="C56" s="5">
        <v>78</v>
      </c>
      <c r="D56" s="5" t="s">
        <v>12</v>
      </c>
      <c r="E56" s="5" t="s">
        <v>306</v>
      </c>
      <c r="F56" s="5">
        <v>5.22</v>
      </c>
      <c r="G56" s="14">
        <v>225</v>
      </c>
      <c r="H56" s="15">
        <v>1174.5</v>
      </c>
    </row>
    <row r="57" spans="1:8" x14ac:dyDescent="0.2">
      <c r="A57" s="13">
        <v>45422</v>
      </c>
      <c r="B57" s="5" t="s">
        <v>284</v>
      </c>
      <c r="C57" s="5">
        <v>42</v>
      </c>
      <c r="D57" s="5" t="s">
        <v>12</v>
      </c>
      <c r="E57" s="5" t="s">
        <v>306</v>
      </c>
      <c r="F57" s="5">
        <v>6.21</v>
      </c>
      <c r="G57" s="14">
        <v>225</v>
      </c>
      <c r="H57" s="15">
        <v>1397.25</v>
      </c>
    </row>
    <row r="58" spans="1:8" x14ac:dyDescent="0.2">
      <c r="A58" s="13">
        <v>45423</v>
      </c>
      <c r="B58" s="5" t="s">
        <v>285</v>
      </c>
      <c r="C58" s="5">
        <v>157</v>
      </c>
      <c r="D58" s="5" t="s">
        <v>12</v>
      </c>
      <c r="E58" s="5" t="s">
        <v>306</v>
      </c>
      <c r="F58" s="5">
        <v>12.24</v>
      </c>
      <c r="G58" s="14">
        <v>225</v>
      </c>
      <c r="H58" s="15">
        <v>2754</v>
      </c>
    </row>
    <row r="59" spans="1:8" x14ac:dyDescent="0.2">
      <c r="A59" s="13">
        <v>45426</v>
      </c>
      <c r="B59" s="5" t="s">
        <v>286</v>
      </c>
      <c r="C59" s="5">
        <v>183</v>
      </c>
      <c r="D59" s="5" t="s">
        <v>12</v>
      </c>
      <c r="E59" s="5" t="s">
        <v>306</v>
      </c>
      <c r="F59" s="5">
        <v>15.71</v>
      </c>
      <c r="G59" s="14">
        <v>225</v>
      </c>
      <c r="H59" s="15">
        <v>3534.75</v>
      </c>
    </row>
    <row r="60" spans="1:8" x14ac:dyDescent="0.2">
      <c r="A60" s="13">
        <v>45430</v>
      </c>
      <c r="B60" s="5" t="s">
        <v>285</v>
      </c>
      <c r="C60" s="5">
        <v>169</v>
      </c>
      <c r="D60" s="5" t="s">
        <v>12</v>
      </c>
      <c r="E60" s="5" t="s">
        <v>306</v>
      </c>
      <c r="F60" s="5">
        <v>12.53</v>
      </c>
      <c r="G60" s="14">
        <v>225</v>
      </c>
      <c r="H60" s="15">
        <v>2819.25</v>
      </c>
    </row>
    <row r="61" spans="1:8" x14ac:dyDescent="0.2">
      <c r="A61" s="13">
        <v>45435</v>
      </c>
      <c r="B61" s="5" t="s">
        <v>284</v>
      </c>
      <c r="C61" s="5">
        <v>73</v>
      </c>
      <c r="D61" s="5" t="s">
        <v>12</v>
      </c>
      <c r="E61" s="5" t="s">
        <v>306</v>
      </c>
      <c r="F61" s="5">
        <v>15.54</v>
      </c>
      <c r="G61" s="14">
        <v>225</v>
      </c>
      <c r="H61" s="15">
        <v>3496.5</v>
      </c>
    </row>
    <row r="62" spans="1:8" x14ac:dyDescent="0.2">
      <c r="A62" s="16">
        <v>45435</v>
      </c>
      <c r="B62" s="5" t="s">
        <v>286</v>
      </c>
      <c r="C62" s="5">
        <v>95</v>
      </c>
      <c r="D62" s="5" t="s">
        <v>12</v>
      </c>
      <c r="E62" s="5" t="s">
        <v>306</v>
      </c>
      <c r="F62" s="5">
        <v>4.5199999999999996</v>
      </c>
      <c r="G62" s="14">
        <v>225</v>
      </c>
      <c r="H62" s="15">
        <v>1016.9999999999999</v>
      </c>
    </row>
    <row r="63" spans="1:8" x14ac:dyDescent="0.2">
      <c r="A63" s="16">
        <v>45436</v>
      </c>
      <c r="B63" s="5" t="s">
        <v>285</v>
      </c>
      <c r="C63" s="5">
        <v>178</v>
      </c>
      <c r="D63" s="5" t="s">
        <v>12</v>
      </c>
      <c r="E63" s="5" t="s">
        <v>306</v>
      </c>
      <c r="F63" s="5">
        <v>8.83</v>
      </c>
      <c r="G63" s="14">
        <v>225</v>
      </c>
      <c r="H63" s="15">
        <v>1986.75</v>
      </c>
    </row>
    <row r="64" spans="1:8" x14ac:dyDescent="0.2">
      <c r="A64" s="13">
        <v>45440</v>
      </c>
      <c r="B64" s="5" t="s">
        <v>284</v>
      </c>
      <c r="C64" s="5">
        <v>37</v>
      </c>
      <c r="D64" s="5" t="s">
        <v>12</v>
      </c>
      <c r="E64" s="5" t="s">
        <v>306</v>
      </c>
      <c r="F64" s="5">
        <v>11.55</v>
      </c>
      <c r="G64" s="14">
        <v>225</v>
      </c>
      <c r="H64" s="15">
        <v>2598.75</v>
      </c>
    </row>
    <row r="65" spans="1:8" x14ac:dyDescent="0.2">
      <c r="A65" s="13">
        <v>45443</v>
      </c>
      <c r="B65" s="5" t="s">
        <v>285</v>
      </c>
      <c r="C65" s="5">
        <v>145</v>
      </c>
      <c r="D65" s="5" t="s">
        <v>12</v>
      </c>
      <c r="E65" s="5" t="s">
        <v>306</v>
      </c>
      <c r="F65" s="5">
        <v>9.5299999999999994</v>
      </c>
      <c r="G65" s="14">
        <v>225</v>
      </c>
      <c r="H65" s="15">
        <v>2144.25</v>
      </c>
    </row>
    <row r="66" spans="1:8" x14ac:dyDescent="0.2">
      <c r="A66" s="13">
        <v>45445</v>
      </c>
      <c r="B66" s="5" t="s">
        <v>287</v>
      </c>
      <c r="C66" s="5">
        <v>81</v>
      </c>
      <c r="D66" s="5" t="s">
        <v>12</v>
      </c>
      <c r="E66" s="5" t="s">
        <v>306</v>
      </c>
      <c r="F66" s="5">
        <v>9.74</v>
      </c>
      <c r="G66" s="14">
        <v>225</v>
      </c>
      <c r="H66" s="15">
        <v>2191.5</v>
      </c>
    </row>
    <row r="67" spans="1:8" x14ac:dyDescent="0.2">
      <c r="A67" s="13">
        <v>45448</v>
      </c>
      <c r="B67" s="5" t="s">
        <v>285</v>
      </c>
      <c r="C67" s="5">
        <v>31</v>
      </c>
      <c r="D67" s="5" t="s">
        <v>12</v>
      </c>
      <c r="E67" s="5" t="s">
        <v>306</v>
      </c>
      <c r="F67" s="5">
        <v>10.199999999999999</v>
      </c>
      <c r="G67" s="14">
        <v>225</v>
      </c>
      <c r="H67" s="15">
        <v>2295</v>
      </c>
    </row>
    <row r="68" spans="1:8" x14ac:dyDescent="0.2">
      <c r="A68" s="16">
        <v>45451</v>
      </c>
      <c r="B68" s="5" t="s">
        <v>284</v>
      </c>
      <c r="C68" s="5">
        <v>7</v>
      </c>
      <c r="D68" s="5" t="s">
        <v>12</v>
      </c>
      <c r="E68" s="5" t="s">
        <v>306</v>
      </c>
      <c r="F68" s="5">
        <v>15.62</v>
      </c>
      <c r="G68" s="14">
        <v>225</v>
      </c>
      <c r="H68" s="15">
        <v>3514.5</v>
      </c>
    </row>
    <row r="69" spans="1:8" x14ac:dyDescent="0.2">
      <c r="A69" s="13">
        <v>45455</v>
      </c>
      <c r="B69" s="5" t="s">
        <v>284</v>
      </c>
      <c r="C69" s="5">
        <v>29</v>
      </c>
      <c r="D69" s="5" t="s">
        <v>12</v>
      </c>
      <c r="E69" s="5" t="s">
        <v>306</v>
      </c>
      <c r="F69" s="5">
        <v>9.42</v>
      </c>
      <c r="G69" s="14">
        <v>225</v>
      </c>
      <c r="H69" s="15">
        <v>2119.5</v>
      </c>
    </row>
    <row r="70" spans="1:8" x14ac:dyDescent="0.2">
      <c r="A70" s="13">
        <v>45456</v>
      </c>
      <c r="B70" s="5" t="s">
        <v>286</v>
      </c>
      <c r="C70" s="5">
        <v>172</v>
      </c>
      <c r="D70" s="5" t="s">
        <v>12</v>
      </c>
      <c r="E70" s="5" t="s">
        <v>306</v>
      </c>
      <c r="F70" s="5">
        <v>12.57</v>
      </c>
      <c r="G70" s="14">
        <v>225</v>
      </c>
      <c r="H70" s="15">
        <v>2828.25</v>
      </c>
    </row>
    <row r="71" spans="1:8" x14ac:dyDescent="0.2">
      <c r="A71" s="13">
        <v>45461</v>
      </c>
      <c r="B71" s="5" t="s">
        <v>287</v>
      </c>
      <c r="C71" s="5">
        <v>154</v>
      </c>
      <c r="D71" s="5" t="s">
        <v>12</v>
      </c>
      <c r="E71" s="5" t="s">
        <v>306</v>
      </c>
      <c r="F71" s="5">
        <v>5.48</v>
      </c>
      <c r="G71" s="14">
        <v>225</v>
      </c>
      <c r="H71" s="15">
        <v>1233</v>
      </c>
    </row>
    <row r="72" spans="1:8" x14ac:dyDescent="0.2">
      <c r="A72" s="13">
        <v>45461</v>
      </c>
      <c r="B72" s="5" t="s">
        <v>285</v>
      </c>
      <c r="C72" s="5">
        <v>53</v>
      </c>
      <c r="D72" s="5" t="s">
        <v>12</v>
      </c>
      <c r="E72" s="5" t="s">
        <v>306</v>
      </c>
      <c r="F72" s="5">
        <v>13.73</v>
      </c>
      <c r="G72" s="14">
        <v>225</v>
      </c>
      <c r="H72" s="15">
        <v>3089.25</v>
      </c>
    </row>
    <row r="73" spans="1:8" x14ac:dyDescent="0.2">
      <c r="A73" s="13">
        <v>45462</v>
      </c>
      <c r="B73" s="5" t="s">
        <v>284</v>
      </c>
      <c r="C73" s="5">
        <v>48</v>
      </c>
      <c r="D73" s="5" t="s">
        <v>12</v>
      </c>
      <c r="E73" s="5" t="s">
        <v>306</v>
      </c>
      <c r="F73" s="5">
        <v>7.58</v>
      </c>
      <c r="G73" s="14">
        <v>225</v>
      </c>
      <c r="H73" s="15">
        <v>1705.5</v>
      </c>
    </row>
    <row r="74" spans="1:8" x14ac:dyDescent="0.2">
      <c r="A74" s="13">
        <v>45467</v>
      </c>
      <c r="B74" s="5" t="s">
        <v>286</v>
      </c>
      <c r="C74" s="5">
        <v>149</v>
      </c>
      <c r="D74" s="5" t="s">
        <v>12</v>
      </c>
      <c r="E74" s="5" t="s">
        <v>306</v>
      </c>
      <c r="F74" s="5">
        <v>8.41</v>
      </c>
      <c r="G74" s="14">
        <v>225</v>
      </c>
      <c r="H74" s="15">
        <v>1892.25</v>
      </c>
    </row>
    <row r="75" spans="1:8" x14ac:dyDescent="0.2">
      <c r="A75" s="13">
        <v>45469</v>
      </c>
      <c r="B75" s="5" t="s">
        <v>285</v>
      </c>
      <c r="C75" s="5">
        <v>133</v>
      </c>
      <c r="D75" s="5" t="s">
        <v>12</v>
      </c>
      <c r="E75" s="5" t="s">
        <v>306</v>
      </c>
      <c r="F75" s="5">
        <v>11.51</v>
      </c>
      <c r="G75" s="14">
        <v>225</v>
      </c>
      <c r="H75" s="15">
        <v>2589.75</v>
      </c>
    </row>
    <row r="76" spans="1:8" x14ac:dyDescent="0.2">
      <c r="A76" s="13">
        <v>45471</v>
      </c>
      <c r="B76" s="5" t="s">
        <v>285</v>
      </c>
      <c r="C76" s="5">
        <v>97</v>
      </c>
      <c r="D76" s="5" t="s">
        <v>12</v>
      </c>
      <c r="E76" s="5" t="s">
        <v>306</v>
      </c>
      <c r="F76" s="5">
        <v>8.6300000000000008</v>
      </c>
      <c r="G76" s="14">
        <v>225</v>
      </c>
      <c r="H76" s="15">
        <v>1941.7500000000002</v>
      </c>
    </row>
    <row r="77" spans="1:8" x14ac:dyDescent="0.2">
      <c r="A77" s="13">
        <v>45471</v>
      </c>
      <c r="B77" s="5" t="s">
        <v>285</v>
      </c>
      <c r="C77" s="5">
        <v>104</v>
      </c>
      <c r="D77" s="5" t="s">
        <v>12</v>
      </c>
      <c r="E77" s="5" t="s">
        <v>306</v>
      </c>
      <c r="F77" s="5">
        <v>13.17</v>
      </c>
      <c r="G77" s="14">
        <v>225</v>
      </c>
      <c r="H77" s="15">
        <v>2963.25</v>
      </c>
    </row>
    <row r="78" spans="1:8" x14ac:dyDescent="0.2">
      <c r="A78" s="13">
        <v>45479</v>
      </c>
      <c r="B78" s="5" t="s">
        <v>284</v>
      </c>
      <c r="C78" s="5">
        <v>121</v>
      </c>
      <c r="D78" s="5" t="s">
        <v>12</v>
      </c>
      <c r="E78" s="5" t="s">
        <v>306</v>
      </c>
      <c r="F78" s="5">
        <v>15.76</v>
      </c>
      <c r="G78" s="14">
        <v>225</v>
      </c>
      <c r="H78" s="15">
        <v>3546</v>
      </c>
    </row>
    <row r="79" spans="1:8" x14ac:dyDescent="0.2">
      <c r="A79" s="13">
        <v>45481</v>
      </c>
      <c r="B79" s="5" t="s">
        <v>284</v>
      </c>
      <c r="C79" s="5">
        <v>31</v>
      </c>
      <c r="D79" s="5" t="s">
        <v>12</v>
      </c>
      <c r="E79" s="5" t="s">
        <v>306</v>
      </c>
      <c r="F79" s="5">
        <v>15.48</v>
      </c>
      <c r="G79" s="14">
        <v>225</v>
      </c>
      <c r="H79" s="15">
        <v>3483</v>
      </c>
    </row>
    <row r="80" spans="1:8" x14ac:dyDescent="0.2">
      <c r="A80" s="13">
        <v>45485</v>
      </c>
      <c r="B80" s="5" t="s">
        <v>284</v>
      </c>
      <c r="C80" s="5">
        <v>11</v>
      </c>
      <c r="D80" s="5" t="s">
        <v>12</v>
      </c>
      <c r="E80" s="5" t="s">
        <v>306</v>
      </c>
      <c r="F80" s="5">
        <v>6.51</v>
      </c>
      <c r="G80" s="14">
        <v>225</v>
      </c>
      <c r="H80" s="15">
        <v>1464.75</v>
      </c>
    </row>
    <row r="81" spans="1:8" x14ac:dyDescent="0.2">
      <c r="A81" s="13">
        <v>45486</v>
      </c>
      <c r="B81" s="5" t="s">
        <v>287</v>
      </c>
      <c r="C81" s="5">
        <v>123</v>
      </c>
      <c r="D81" s="5" t="s">
        <v>12</v>
      </c>
      <c r="E81" s="5" t="s">
        <v>306</v>
      </c>
      <c r="F81" s="5">
        <v>10.32</v>
      </c>
      <c r="G81" s="14">
        <v>225</v>
      </c>
      <c r="H81" s="15">
        <v>2322</v>
      </c>
    </row>
    <row r="82" spans="1:8" x14ac:dyDescent="0.2">
      <c r="A82" s="13">
        <v>45486</v>
      </c>
      <c r="B82" s="5" t="s">
        <v>285</v>
      </c>
      <c r="C82" s="5">
        <v>145</v>
      </c>
      <c r="D82" s="5" t="s">
        <v>12</v>
      </c>
      <c r="E82" s="5" t="s">
        <v>306</v>
      </c>
      <c r="F82" s="5">
        <v>12.3</v>
      </c>
      <c r="G82" s="14">
        <v>225</v>
      </c>
      <c r="H82" s="15">
        <v>2767.5</v>
      </c>
    </row>
    <row r="83" spans="1:8" x14ac:dyDescent="0.2">
      <c r="A83" s="13">
        <v>45490</v>
      </c>
      <c r="B83" s="5" t="s">
        <v>286</v>
      </c>
      <c r="C83" s="5">
        <v>99</v>
      </c>
      <c r="D83" s="5" t="s">
        <v>12</v>
      </c>
      <c r="E83" s="5" t="s">
        <v>306</v>
      </c>
      <c r="F83" s="5">
        <v>11.83</v>
      </c>
      <c r="G83" s="14">
        <v>225</v>
      </c>
      <c r="H83" s="15">
        <v>2661.75</v>
      </c>
    </row>
    <row r="84" spans="1:8" x14ac:dyDescent="0.2">
      <c r="A84" s="13">
        <v>45491</v>
      </c>
      <c r="B84" s="5" t="s">
        <v>284</v>
      </c>
      <c r="C84" s="5">
        <v>60</v>
      </c>
      <c r="D84" s="5" t="s">
        <v>12</v>
      </c>
      <c r="E84" s="5" t="s">
        <v>306</v>
      </c>
      <c r="F84" s="5">
        <v>8.2100000000000009</v>
      </c>
      <c r="G84" s="14">
        <v>225</v>
      </c>
      <c r="H84" s="15">
        <v>1847.2500000000002</v>
      </c>
    </row>
    <row r="85" spans="1:8" x14ac:dyDescent="0.2">
      <c r="A85" s="13">
        <v>45496</v>
      </c>
      <c r="B85" s="5" t="s">
        <v>286</v>
      </c>
      <c r="C85" s="5">
        <v>113</v>
      </c>
      <c r="D85" s="5" t="s">
        <v>12</v>
      </c>
      <c r="E85" s="5" t="s">
        <v>306</v>
      </c>
      <c r="F85" s="5">
        <v>13</v>
      </c>
      <c r="G85" s="14">
        <v>225</v>
      </c>
      <c r="H85" s="15">
        <v>2925</v>
      </c>
    </row>
    <row r="86" spans="1:8" x14ac:dyDescent="0.2">
      <c r="A86" s="13">
        <v>45497</v>
      </c>
      <c r="B86" s="5" t="s">
        <v>284</v>
      </c>
      <c r="C86" s="5">
        <v>57</v>
      </c>
      <c r="D86" s="5" t="s">
        <v>12</v>
      </c>
      <c r="E86" s="5" t="s">
        <v>306</v>
      </c>
      <c r="F86" s="5">
        <v>13.73</v>
      </c>
      <c r="G86" s="14">
        <v>225</v>
      </c>
      <c r="H86" s="15">
        <v>3089.25</v>
      </c>
    </row>
    <row r="87" spans="1:8" x14ac:dyDescent="0.2">
      <c r="A87" s="16">
        <v>45498</v>
      </c>
      <c r="B87" s="5" t="s">
        <v>284</v>
      </c>
      <c r="C87" s="5">
        <v>115</v>
      </c>
      <c r="D87" s="5" t="s">
        <v>12</v>
      </c>
      <c r="E87" s="5" t="s">
        <v>306</v>
      </c>
      <c r="F87" s="5">
        <v>5.69</v>
      </c>
      <c r="G87" s="14">
        <v>225</v>
      </c>
      <c r="H87" s="15">
        <v>1280.25</v>
      </c>
    </row>
    <row r="88" spans="1:8" x14ac:dyDescent="0.2">
      <c r="A88" s="13">
        <v>45499</v>
      </c>
      <c r="B88" s="5" t="s">
        <v>284</v>
      </c>
      <c r="C88" s="5">
        <v>65</v>
      </c>
      <c r="D88" s="5" t="s">
        <v>12</v>
      </c>
      <c r="E88" s="5" t="s">
        <v>306</v>
      </c>
      <c r="F88" s="5">
        <v>15.78</v>
      </c>
      <c r="G88" s="14">
        <v>225</v>
      </c>
      <c r="H88" s="15">
        <v>3550.5</v>
      </c>
    </row>
    <row r="89" spans="1:8" x14ac:dyDescent="0.2">
      <c r="A89" s="13">
        <v>45500</v>
      </c>
      <c r="B89" s="5" t="s">
        <v>284</v>
      </c>
      <c r="C89" s="5">
        <v>102</v>
      </c>
      <c r="D89" s="5" t="s">
        <v>12</v>
      </c>
      <c r="E89" s="5" t="s">
        <v>306</v>
      </c>
      <c r="F89" s="5">
        <v>11.58</v>
      </c>
      <c r="G89" s="14">
        <v>225</v>
      </c>
      <c r="H89" s="15">
        <v>2605.5</v>
      </c>
    </row>
    <row r="90" spans="1:8" x14ac:dyDescent="0.2">
      <c r="A90" s="13">
        <v>45500</v>
      </c>
      <c r="B90" s="5" t="s">
        <v>285</v>
      </c>
      <c r="C90" s="5">
        <v>41</v>
      </c>
      <c r="D90" s="5" t="s">
        <v>12</v>
      </c>
      <c r="E90" s="5" t="s">
        <v>306</v>
      </c>
      <c r="F90" s="5">
        <v>4.72</v>
      </c>
      <c r="G90" s="14">
        <v>225</v>
      </c>
      <c r="H90" s="15">
        <v>1062</v>
      </c>
    </row>
    <row r="91" spans="1:8" x14ac:dyDescent="0.2">
      <c r="A91" s="13">
        <v>45513</v>
      </c>
      <c r="B91" s="5" t="s">
        <v>286</v>
      </c>
      <c r="C91" s="5">
        <v>139</v>
      </c>
      <c r="D91" s="5" t="s">
        <v>12</v>
      </c>
      <c r="E91" s="5" t="s">
        <v>306</v>
      </c>
      <c r="F91" s="5">
        <v>11.07</v>
      </c>
      <c r="G91" s="14">
        <v>225</v>
      </c>
      <c r="H91" s="15">
        <v>2490.75</v>
      </c>
    </row>
    <row r="92" spans="1:8" x14ac:dyDescent="0.2">
      <c r="A92" s="13">
        <v>45514</v>
      </c>
      <c r="B92" s="5" t="s">
        <v>284</v>
      </c>
      <c r="C92" s="5">
        <v>102</v>
      </c>
      <c r="D92" s="5" t="s">
        <v>12</v>
      </c>
      <c r="E92" s="5" t="s">
        <v>306</v>
      </c>
      <c r="F92" s="5">
        <v>12.24</v>
      </c>
      <c r="G92" s="14">
        <v>225</v>
      </c>
      <c r="H92" s="15">
        <v>2754</v>
      </c>
    </row>
    <row r="93" spans="1:8" x14ac:dyDescent="0.2">
      <c r="A93" s="13">
        <v>45516</v>
      </c>
      <c r="B93" s="5" t="s">
        <v>284</v>
      </c>
      <c r="C93" s="5">
        <v>53</v>
      </c>
      <c r="D93" s="5" t="s">
        <v>12</v>
      </c>
      <c r="E93" s="5" t="s">
        <v>306</v>
      </c>
      <c r="F93" s="5">
        <v>11.8</v>
      </c>
      <c r="G93" s="14">
        <v>225</v>
      </c>
      <c r="H93" s="15">
        <v>2655</v>
      </c>
    </row>
    <row r="94" spans="1:8" x14ac:dyDescent="0.2">
      <c r="A94" s="13">
        <v>45520</v>
      </c>
      <c r="B94" s="5" t="s">
        <v>284</v>
      </c>
      <c r="C94" s="5">
        <v>18</v>
      </c>
      <c r="D94" s="5" t="s">
        <v>12</v>
      </c>
      <c r="E94" s="5" t="s">
        <v>306</v>
      </c>
      <c r="F94" s="5">
        <v>14.5</v>
      </c>
      <c r="G94" s="14">
        <v>225</v>
      </c>
      <c r="H94" s="15">
        <v>3262.5</v>
      </c>
    </row>
    <row r="95" spans="1:8" x14ac:dyDescent="0.2">
      <c r="A95" s="13">
        <v>45520</v>
      </c>
      <c r="B95" s="5" t="s">
        <v>285</v>
      </c>
      <c r="C95" s="5">
        <v>107</v>
      </c>
      <c r="D95" s="5" t="s">
        <v>12</v>
      </c>
      <c r="E95" s="5" t="s">
        <v>306</v>
      </c>
      <c r="F95" s="5">
        <v>12.68</v>
      </c>
      <c r="G95" s="14">
        <v>225</v>
      </c>
      <c r="H95" s="15">
        <v>2853</v>
      </c>
    </row>
    <row r="96" spans="1:8" x14ac:dyDescent="0.2">
      <c r="A96" s="13">
        <v>45522</v>
      </c>
      <c r="B96" s="5" t="s">
        <v>284</v>
      </c>
      <c r="C96" s="5">
        <v>2</v>
      </c>
      <c r="D96" s="5" t="s">
        <v>12</v>
      </c>
      <c r="E96" s="5" t="s">
        <v>306</v>
      </c>
      <c r="F96" s="5">
        <v>11.05</v>
      </c>
      <c r="G96" s="14">
        <v>225</v>
      </c>
      <c r="H96" s="15">
        <v>2486.25</v>
      </c>
    </row>
    <row r="97" spans="1:8" x14ac:dyDescent="0.2">
      <c r="A97" s="13">
        <v>45524</v>
      </c>
      <c r="B97" s="5" t="s">
        <v>284</v>
      </c>
      <c r="C97" s="5">
        <v>18</v>
      </c>
      <c r="D97" s="5" t="s">
        <v>12</v>
      </c>
      <c r="E97" s="5" t="s">
        <v>306</v>
      </c>
      <c r="F97" s="5">
        <v>9.57</v>
      </c>
      <c r="G97" s="14">
        <v>225</v>
      </c>
      <c r="H97" s="15">
        <v>2153.25</v>
      </c>
    </row>
    <row r="98" spans="1:8" x14ac:dyDescent="0.2">
      <c r="A98" s="13">
        <v>45525</v>
      </c>
      <c r="B98" s="5" t="s">
        <v>286</v>
      </c>
      <c r="C98" s="5">
        <v>87</v>
      </c>
      <c r="D98" s="5" t="s">
        <v>12</v>
      </c>
      <c r="E98" s="5" t="s">
        <v>306</v>
      </c>
      <c r="F98" s="5">
        <v>14.34</v>
      </c>
      <c r="G98" s="14">
        <v>225</v>
      </c>
      <c r="H98" s="15">
        <v>3226.5</v>
      </c>
    </row>
    <row r="99" spans="1:8" x14ac:dyDescent="0.2">
      <c r="A99" s="13">
        <v>45529</v>
      </c>
      <c r="B99" s="5" t="s">
        <v>285</v>
      </c>
      <c r="C99" s="5">
        <v>164</v>
      </c>
      <c r="D99" s="5" t="s">
        <v>12</v>
      </c>
      <c r="E99" s="5" t="s">
        <v>306</v>
      </c>
      <c r="F99" s="5">
        <v>5.17</v>
      </c>
      <c r="G99" s="14">
        <v>225</v>
      </c>
      <c r="H99" s="15">
        <v>1163.25</v>
      </c>
    </row>
    <row r="100" spans="1:8" x14ac:dyDescent="0.2">
      <c r="A100" s="13">
        <v>45530</v>
      </c>
      <c r="B100" s="5" t="s">
        <v>284</v>
      </c>
      <c r="C100" s="5">
        <v>85</v>
      </c>
      <c r="D100" s="5" t="s">
        <v>12</v>
      </c>
      <c r="E100" s="5" t="s">
        <v>306</v>
      </c>
      <c r="F100" s="5">
        <v>15.73</v>
      </c>
      <c r="G100" s="14">
        <v>225</v>
      </c>
      <c r="H100" s="15">
        <v>3539.25</v>
      </c>
    </row>
    <row r="101" spans="1:8" x14ac:dyDescent="0.2">
      <c r="A101" s="16">
        <v>45531</v>
      </c>
      <c r="B101" s="5" t="s">
        <v>284</v>
      </c>
      <c r="C101" s="5">
        <v>134</v>
      </c>
      <c r="D101" s="5" t="s">
        <v>12</v>
      </c>
      <c r="E101" s="5" t="s">
        <v>306</v>
      </c>
      <c r="F101" s="5">
        <v>14.47</v>
      </c>
      <c r="G101" s="14">
        <v>225</v>
      </c>
      <c r="H101" s="15">
        <v>3255.75</v>
      </c>
    </row>
    <row r="102" spans="1:8" x14ac:dyDescent="0.2">
      <c r="A102" s="13">
        <v>45532</v>
      </c>
      <c r="B102" s="5" t="s">
        <v>284</v>
      </c>
      <c r="C102" s="5">
        <v>85</v>
      </c>
      <c r="D102" s="5" t="s">
        <v>12</v>
      </c>
      <c r="E102" s="5" t="s">
        <v>306</v>
      </c>
      <c r="F102" s="5">
        <v>8.2100000000000009</v>
      </c>
      <c r="G102" s="14">
        <v>225</v>
      </c>
      <c r="H102" s="15">
        <v>1847.2500000000002</v>
      </c>
    </row>
    <row r="103" spans="1:8" x14ac:dyDescent="0.2">
      <c r="A103" s="13">
        <v>45536</v>
      </c>
      <c r="B103" s="5" t="s">
        <v>285</v>
      </c>
      <c r="C103" s="5">
        <v>174</v>
      </c>
      <c r="D103" s="5" t="s">
        <v>12</v>
      </c>
      <c r="E103" s="5" t="s">
        <v>306</v>
      </c>
      <c r="F103" s="5">
        <v>6.42</v>
      </c>
      <c r="G103" s="14">
        <v>225</v>
      </c>
      <c r="H103" s="15">
        <v>1444.5</v>
      </c>
    </row>
    <row r="104" spans="1:8" x14ac:dyDescent="0.2">
      <c r="A104" s="13">
        <v>45540</v>
      </c>
      <c r="B104" s="5" t="s">
        <v>285</v>
      </c>
      <c r="C104" s="5">
        <v>132</v>
      </c>
      <c r="D104" s="5" t="s">
        <v>12</v>
      </c>
      <c r="E104" s="5" t="s">
        <v>306</v>
      </c>
      <c r="F104" s="5">
        <v>7.05</v>
      </c>
      <c r="G104" s="14">
        <v>225</v>
      </c>
      <c r="H104" s="15">
        <v>1586.25</v>
      </c>
    </row>
    <row r="105" spans="1:8" x14ac:dyDescent="0.2">
      <c r="A105" s="13">
        <v>45541</v>
      </c>
      <c r="B105" s="5" t="s">
        <v>284</v>
      </c>
      <c r="C105" s="5">
        <v>1</v>
      </c>
      <c r="D105" s="5" t="s">
        <v>12</v>
      </c>
      <c r="E105" s="5" t="s">
        <v>306</v>
      </c>
      <c r="F105" s="5">
        <v>7.27</v>
      </c>
      <c r="G105" s="14">
        <v>225</v>
      </c>
      <c r="H105" s="15">
        <v>1635.75</v>
      </c>
    </row>
    <row r="106" spans="1:8" x14ac:dyDescent="0.2">
      <c r="A106" s="13">
        <v>45541</v>
      </c>
      <c r="B106" s="5" t="s">
        <v>285</v>
      </c>
      <c r="C106" s="5">
        <v>72</v>
      </c>
      <c r="D106" s="5" t="s">
        <v>12</v>
      </c>
      <c r="E106" s="5" t="s">
        <v>306</v>
      </c>
      <c r="F106" s="5">
        <v>8.52</v>
      </c>
      <c r="G106" s="14">
        <v>225</v>
      </c>
      <c r="H106" s="15">
        <v>1917</v>
      </c>
    </row>
    <row r="107" spans="1:8" x14ac:dyDescent="0.2">
      <c r="A107" s="13">
        <v>45545</v>
      </c>
      <c r="B107" s="5" t="s">
        <v>284</v>
      </c>
      <c r="C107" s="5">
        <v>3</v>
      </c>
      <c r="D107" s="5" t="s">
        <v>12</v>
      </c>
      <c r="E107" s="5" t="s">
        <v>306</v>
      </c>
      <c r="F107" s="5">
        <v>13.44</v>
      </c>
      <c r="G107" s="14">
        <v>225</v>
      </c>
      <c r="H107" s="15">
        <v>3024</v>
      </c>
    </row>
    <row r="108" spans="1:8" x14ac:dyDescent="0.2">
      <c r="A108" s="13">
        <v>45551</v>
      </c>
      <c r="B108" s="5" t="s">
        <v>284</v>
      </c>
      <c r="C108" s="5">
        <v>32</v>
      </c>
      <c r="D108" s="5" t="s">
        <v>12</v>
      </c>
      <c r="E108" s="5" t="s">
        <v>306</v>
      </c>
      <c r="F108" s="5">
        <v>12.68</v>
      </c>
      <c r="G108" s="14">
        <v>225</v>
      </c>
      <c r="H108" s="15">
        <v>2853</v>
      </c>
    </row>
    <row r="109" spans="1:8" x14ac:dyDescent="0.2">
      <c r="A109" s="13">
        <v>45554</v>
      </c>
      <c r="B109" s="5" t="s">
        <v>284</v>
      </c>
      <c r="C109" s="5">
        <v>35</v>
      </c>
      <c r="D109" s="5" t="s">
        <v>12</v>
      </c>
      <c r="E109" s="5" t="s">
        <v>306</v>
      </c>
      <c r="F109" s="5">
        <v>14.61</v>
      </c>
      <c r="G109" s="14">
        <v>225</v>
      </c>
      <c r="H109" s="15">
        <v>3287.25</v>
      </c>
    </row>
    <row r="110" spans="1:8" x14ac:dyDescent="0.2">
      <c r="A110" s="13">
        <v>45555</v>
      </c>
      <c r="B110" s="5" t="s">
        <v>284</v>
      </c>
      <c r="C110" s="5">
        <v>68</v>
      </c>
      <c r="D110" s="5" t="s">
        <v>12</v>
      </c>
      <c r="E110" s="5" t="s">
        <v>306</v>
      </c>
      <c r="F110" s="5">
        <v>6.38</v>
      </c>
      <c r="G110" s="14">
        <v>225</v>
      </c>
      <c r="H110" s="15">
        <v>1435.5</v>
      </c>
    </row>
    <row r="111" spans="1:8" x14ac:dyDescent="0.2">
      <c r="A111" s="13">
        <v>45555</v>
      </c>
      <c r="B111" s="5" t="s">
        <v>285</v>
      </c>
      <c r="C111" s="5">
        <v>39</v>
      </c>
      <c r="D111" s="5" t="s">
        <v>12</v>
      </c>
      <c r="E111" s="5" t="s">
        <v>306</v>
      </c>
      <c r="F111" s="5">
        <v>9.99</v>
      </c>
      <c r="G111" s="14">
        <v>225</v>
      </c>
      <c r="H111" s="15">
        <v>2247.75</v>
      </c>
    </row>
    <row r="112" spans="1:8" x14ac:dyDescent="0.2">
      <c r="A112" s="13">
        <v>45564</v>
      </c>
      <c r="B112" s="5" t="s">
        <v>287</v>
      </c>
      <c r="C112" s="5">
        <v>180</v>
      </c>
      <c r="D112" s="5" t="s">
        <v>12</v>
      </c>
      <c r="E112" s="5" t="s">
        <v>306</v>
      </c>
      <c r="F112" s="5">
        <v>10.18</v>
      </c>
      <c r="G112" s="14">
        <v>225</v>
      </c>
      <c r="H112" s="15">
        <v>2290.5</v>
      </c>
    </row>
    <row r="113" spans="1:8" x14ac:dyDescent="0.2">
      <c r="A113" s="13">
        <v>45568</v>
      </c>
      <c r="B113" s="5" t="s">
        <v>286</v>
      </c>
      <c r="C113" s="5">
        <v>116</v>
      </c>
      <c r="D113" s="5" t="s">
        <v>12</v>
      </c>
      <c r="E113" s="5" t="s">
        <v>306</v>
      </c>
      <c r="F113" s="5">
        <v>10.23</v>
      </c>
      <c r="G113" s="14">
        <v>225</v>
      </c>
      <c r="H113" s="15">
        <v>2301.75</v>
      </c>
    </row>
    <row r="114" spans="1:8" x14ac:dyDescent="0.2">
      <c r="A114" s="13">
        <v>45569</v>
      </c>
      <c r="B114" s="5" t="s">
        <v>286</v>
      </c>
      <c r="C114" s="5">
        <v>115</v>
      </c>
      <c r="D114" s="5" t="s">
        <v>12</v>
      </c>
      <c r="E114" s="5" t="s">
        <v>306</v>
      </c>
      <c r="F114" s="5">
        <v>4.41</v>
      </c>
      <c r="G114" s="14">
        <v>225</v>
      </c>
      <c r="H114" s="15">
        <v>992.25</v>
      </c>
    </row>
    <row r="115" spans="1:8" x14ac:dyDescent="0.2">
      <c r="A115" s="13">
        <v>45574</v>
      </c>
      <c r="B115" s="5" t="s">
        <v>287</v>
      </c>
      <c r="C115" s="5">
        <v>125</v>
      </c>
      <c r="D115" s="5" t="s">
        <v>12</v>
      </c>
      <c r="E115" s="5" t="s">
        <v>306</v>
      </c>
      <c r="F115" s="5">
        <v>9.26</v>
      </c>
      <c r="G115" s="14">
        <v>225</v>
      </c>
      <c r="H115" s="15">
        <v>2083.5</v>
      </c>
    </row>
    <row r="116" spans="1:8" x14ac:dyDescent="0.2">
      <c r="A116" s="13">
        <v>45579</v>
      </c>
      <c r="B116" s="5" t="s">
        <v>284</v>
      </c>
      <c r="C116" s="5">
        <v>35</v>
      </c>
      <c r="D116" s="5" t="s">
        <v>12</v>
      </c>
      <c r="E116" s="5" t="s">
        <v>306</v>
      </c>
      <c r="F116" s="5">
        <v>5.97</v>
      </c>
      <c r="G116" s="14">
        <v>225</v>
      </c>
      <c r="H116" s="15">
        <v>1343.25</v>
      </c>
    </row>
    <row r="117" spans="1:8" x14ac:dyDescent="0.2">
      <c r="A117" s="13">
        <v>45580</v>
      </c>
      <c r="B117" s="5" t="s">
        <v>284</v>
      </c>
      <c r="C117" s="5">
        <v>64</v>
      </c>
      <c r="D117" s="5" t="s">
        <v>12</v>
      </c>
      <c r="E117" s="5" t="s">
        <v>306</v>
      </c>
      <c r="F117" s="5">
        <v>9.91</v>
      </c>
      <c r="G117" s="14">
        <v>225</v>
      </c>
      <c r="H117" s="15">
        <v>2229.75</v>
      </c>
    </row>
    <row r="118" spans="1:8" x14ac:dyDescent="0.2">
      <c r="A118" s="13">
        <v>45582</v>
      </c>
      <c r="B118" s="5" t="s">
        <v>287</v>
      </c>
      <c r="C118" s="5">
        <v>116</v>
      </c>
      <c r="D118" s="5" t="s">
        <v>12</v>
      </c>
      <c r="E118" s="5" t="s">
        <v>306</v>
      </c>
      <c r="F118" s="5">
        <v>7.64</v>
      </c>
      <c r="G118" s="14">
        <v>225</v>
      </c>
      <c r="H118" s="15">
        <v>1719</v>
      </c>
    </row>
    <row r="119" spans="1:8" x14ac:dyDescent="0.2">
      <c r="A119" s="16">
        <v>45584</v>
      </c>
      <c r="B119" s="5" t="s">
        <v>284</v>
      </c>
      <c r="C119" s="5">
        <v>50</v>
      </c>
      <c r="D119" s="5" t="s">
        <v>12</v>
      </c>
      <c r="E119" s="5" t="s">
        <v>306</v>
      </c>
      <c r="F119" s="5">
        <v>13.08</v>
      </c>
      <c r="G119" s="14">
        <v>225</v>
      </c>
      <c r="H119" s="15">
        <v>2943</v>
      </c>
    </row>
    <row r="120" spans="1:8" x14ac:dyDescent="0.2">
      <c r="A120" s="13">
        <v>45584</v>
      </c>
      <c r="B120" s="5" t="s">
        <v>286</v>
      </c>
      <c r="C120" s="5">
        <v>169</v>
      </c>
      <c r="D120" s="5" t="s">
        <v>12</v>
      </c>
      <c r="E120" s="5" t="s">
        <v>306</v>
      </c>
      <c r="F120" s="5">
        <v>15.62</v>
      </c>
      <c r="G120" s="14">
        <v>225</v>
      </c>
      <c r="H120" s="15">
        <v>3514.5</v>
      </c>
    </row>
    <row r="121" spans="1:8" x14ac:dyDescent="0.2">
      <c r="A121" s="13">
        <v>45585</v>
      </c>
      <c r="B121" s="5" t="s">
        <v>287</v>
      </c>
      <c r="C121" s="5">
        <v>107</v>
      </c>
      <c r="D121" s="5" t="s">
        <v>12</v>
      </c>
      <c r="E121" s="5" t="s">
        <v>306</v>
      </c>
      <c r="F121" s="5">
        <v>7.97</v>
      </c>
      <c r="G121" s="14">
        <v>225</v>
      </c>
      <c r="H121" s="15">
        <v>1793.25</v>
      </c>
    </row>
    <row r="122" spans="1:8" x14ac:dyDescent="0.2">
      <c r="A122" s="13">
        <v>45586</v>
      </c>
      <c r="B122" s="5" t="s">
        <v>284</v>
      </c>
      <c r="C122" s="5">
        <v>128</v>
      </c>
      <c r="D122" s="5" t="s">
        <v>12</v>
      </c>
      <c r="E122" s="5" t="s">
        <v>306</v>
      </c>
      <c r="F122" s="5">
        <v>13.26</v>
      </c>
      <c r="G122" s="14">
        <v>225</v>
      </c>
      <c r="H122" s="15">
        <v>2983.5</v>
      </c>
    </row>
    <row r="123" spans="1:8" x14ac:dyDescent="0.2">
      <c r="A123" s="13">
        <v>45590</v>
      </c>
      <c r="B123" s="5" t="s">
        <v>285</v>
      </c>
      <c r="C123" s="5">
        <v>51</v>
      </c>
      <c r="D123" s="5" t="s">
        <v>12</v>
      </c>
      <c r="E123" s="5" t="s">
        <v>306</v>
      </c>
      <c r="F123" s="5">
        <v>11.82</v>
      </c>
      <c r="G123" s="14">
        <v>225</v>
      </c>
      <c r="H123" s="15">
        <v>2659.5</v>
      </c>
    </row>
    <row r="124" spans="1:8" x14ac:dyDescent="0.2">
      <c r="A124" s="13">
        <v>45591</v>
      </c>
      <c r="B124" s="5" t="s">
        <v>285</v>
      </c>
      <c r="C124" s="5">
        <v>61</v>
      </c>
      <c r="D124" s="5" t="s">
        <v>12</v>
      </c>
      <c r="E124" s="5" t="s">
        <v>306</v>
      </c>
      <c r="F124" s="5">
        <v>7.66</v>
      </c>
      <c r="G124" s="14">
        <v>225</v>
      </c>
      <c r="H124" s="15">
        <v>1723.5</v>
      </c>
    </row>
    <row r="125" spans="1:8" x14ac:dyDescent="0.2">
      <c r="A125" s="13">
        <v>45592</v>
      </c>
      <c r="B125" s="5" t="s">
        <v>284</v>
      </c>
      <c r="C125" s="5">
        <v>65</v>
      </c>
      <c r="D125" s="5" t="s">
        <v>12</v>
      </c>
      <c r="E125" s="5" t="s">
        <v>306</v>
      </c>
      <c r="F125" s="5">
        <v>13.26</v>
      </c>
      <c r="G125" s="14">
        <v>225</v>
      </c>
      <c r="H125" s="15">
        <v>2983.5</v>
      </c>
    </row>
    <row r="126" spans="1:8" x14ac:dyDescent="0.2">
      <c r="A126" s="13">
        <v>45603</v>
      </c>
      <c r="B126" s="5" t="s">
        <v>286</v>
      </c>
      <c r="C126" s="5">
        <v>172</v>
      </c>
      <c r="D126" s="5" t="s">
        <v>12</v>
      </c>
      <c r="E126" s="5" t="s">
        <v>306</v>
      </c>
      <c r="F126" s="5">
        <v>6.83</v>
      </c>
      <c r="G126" s="14">
        <v>225</v>
      </c>
      <c r="H126" s="15">
        <v>1536.75</v>
      </c>
    </row>
    <row r="127" spans="1:8" x14ac:dyDescent="0.2">
      <c r="A127" s="13">
        <v>45604</v>
      </c>
      <c r="B127" s="5" t="s">
        <v>287</v>
      </c>
      <c r="C127" s="5">
        <v>177</v>
      </c>
      <c r="D127" s="5" t="s">
        <v>12</v>
      </c>
      <c r="E127" s="5" t="s">
        <v>306</v>
      </c>
      <c r="F127" s="5">
        <v>6.37</v>
      </c>
      <c r="G127" s="14">
        <v>225</v>
      </c>
      <c r="H127" s="15">
        <v>1433.25</v>
      </c>
    </row>
    <row r="128" spans="1:8" x14ac:dyDescent="0.2">
      <c r="A128" s="13">
        <v>45607</v>
      </c>
      <c r="B128" s="5" t="s">
        <v>284</v>
      </c>
      <c r="C128" s="5">
        <v>68</v>
      </c>
      <c r="D128" s="5" t="s">
        <v>12</v>
      </c>
      <c r="E128" s="5" t="s">
        <v>306</v>
      </c>
      <c r="F128" s="5">
        <v>12.34</v>
      </c>
      <c r="G128" s="14">
        <v>225</v>
      </c>
      <c r="H128" s="15">
        <v>2776.5</v>
      </c>
    </row>
    <row r="129" spans="1:8" x14ac:dyDescent="0.2">
      <c r="A129" s="13">
        <v>45620</v>
      </c>
      <c r="B129" s="5" t="s">
        <v>284</v>
      </c>
      <c r="C129" s="5">
        <v>57</v>
      </c>
      <c r="D129" s="5" t="s">
        <v>12</v>
      </c>
      <c r="E129" s="5" t="s">
        <v>306</v>
      </c>
      <c r="F129" s="5">
        <v>4.55</v>
      </c>
      <c r="G129" s="14">
        <v>225</v>
      </c>
      <c r="H129" s="15">
        <v>1023.75</v>
      </c>
    </row>
    <row r="130" spans="1:8" x14ac:dyDescent="0.2">
      <c r="A130" s="13">
        <v>45624</v>
      </c>
      <c r="B130" s="5" t="s">
        <v>285</v>
      </c>
      <c r="C130" s="5">
        <v>108</v>
      </c>
      <c r="D130" s="5" t="s">
        <v>12</v>
      </c>
      <c r="E130" s="5" t="s">
        <v>306</v>
      </c>
      <c r="F130" s="5">
        <v>13.31</v>
      </c>
      <c r="G130" s="14">
        <v>225</v>
      </c>
      <c r="H130" s="15">
        <v>2994.75</v>
      </c>
    </row>
    <row r="131" spans="1:8" x14ac:dyDescent="0.2">
      <c r="A131" s="13">
        <v>45628</v>
      </c>
      <c r="B131" s="5" t="s">
        <v>287</v>
      </c>
      <c r="C131" s="5">
        <v>190</v>
      </c>
      <c r="D131" s="5" t="s">
        <v>12</v>
      </c>
      <c r="E131" s="5" t="s">
        <v>306</v>
      </c>
      <c r="F131" s="5">
        <v>12.06</v>
      </c>
      <c r="G131" s="14">
        <v>225</v>
      </c>
      <c r="H131" s="15">
        <v>2713.5</v>
      </c>
    </row>
    <row r="132" spans="1:8" x14ac:dyDescent="0.2">
      <c r="A132" s="13">
        <v>45631</v>
      </c>
      <c r="B132" s="5" t="s">
        <v>284</v>
      </c>
      <c r="C132" s="5">
        <v>132</v>
      </c>
      <c r="D132" s="5" t="s">
        <v>12</v>
      </c>
      <c r="E132" s="5" t="s">
        <v>306</v>
      </c>
      <c r="F132" s="5">
        <v>11.2</v>
      </c>
      <c r="G132" s="14">
        <v>225</v>
      </c>
      <c r="H132" s="15">
        <v>2520</v>
      </c>
    </row>
    <row r="133" spans="1:8" x14ac:dyDescent="0.2">
      <c r="A133" s="13">
        <v>45634</v>
      </c>
      <c r="B133" s="5" t="s">
        <v>284</v>
      </c>
      <c r="C133" s="5">
        <v>88</v>
      </c>
      <c r="D133" s="5" t="s">
        <v>12</v>
      </c>
      <c r="E133" s="5" t="s">
        <v>306</v>
      </c>
      <c r="F133" s="5">
        <v>10.6</v>
      </c>
      <c r="G133" s="14">
        <v>225</v>
      </c>
      <c r="H133" s="15">
        <v>2385</v>
      </c>
    </row>
    <row r="134" spans="1:8" x14ac:dyDescent="0.2">
      <c r="A134" s="13">
        <v>45635</v>
      </c>
      <c r="B134" s="5" t="s">
        <v>287</v>
      </c>
      <c r="C134" s="5">
        <v>159</v>
      </c>
      <c r="D134" s="5" t="s">
        <v>12</v>
      </c>
      <c r="E134" s="5" t="s">
        <v>306</v>
      </c>
      <c r="F134" s="5">
        <v>9.92</v>
      </c>
      <c r="G134" s="14">
        <v>225</v>
      </c>
      <c r="H134" s="15">
        <v>2232</v>
      </c>
    </row>
    <row r="135" spans="1:8" x14ac:dyDescent="0.2">
      <c r="A135" s="13">
        <v>45639</v>
      </c>
      <c r="B135" s="5" t="s">
        <v>286</v>
      </c>
      <c r="C135" s="5">
        <v>188</v>
      </c>
      <c r="D135" s="5" t="s">
        <v>12</v>
      </c>
      <c r="E135" s="5" t="s">
        <v>306</v>
      </c>
      <c r="F135" s="5">
        <v>14.04</v>
      </c>
      <c r="G135" s="14">
        <v>225</v>
      </c>
      <c r="H135" s="15">
        <v>3159</v>
      </c>
    </row>
    <row r="136" spans="1:8" x14ac:dyDescent="0.2">
      <c r="A136" s="13">
        <v>45641</v>
      </c>
      <c r="B136" s="5" t="s">
        <v>284</v>
      </c>
      <c r="C136" s="5">
        <v>105</v>
      </c>
      <c r="D136" s="5" t="s">
        <v>12</v>
      </c>
      <c r="E136" s="5" t="s">
        <v>306</v>
      </c>
      <c r="F136" s="5">
        <v>12.76</v>
      </c>
      <c r="G136" s="14">
        <v>225</v>
      </c>
      <c r="H136" s="15">
        <v>2871</v>
      </c>
    </row>
    <row r="137" spans="1:8" x14ac:dyDescent="0.2">
      <c r="A137" s="13">
        <v>45645</v>
      </c>
      <c r="B137" s="5" t="s">
        <v>284</v>
      </c>
      <c r="C137" s="5">
        <v>98</v>
      </c>
      <c r="D137" s="5" t="s">
        <v>12</v>
      </c>
      <c r="E137" s="5" t="s">
        <v>306</v>
      </c>
      <c r="F137" s="5">
        <v>13.03</v>
      </c>
      <c r="G137" s="14">
        <v>225</v>
      </c>
      <c r="H137" s="15">
        <v>2931.75</v>
      </c>
    </row>
    <row r="138" spans="1:8" x14ac:dyDescent="0.2">
      <c r="A138" s="13">
        <v>45646</v>
      </c>
      <c r="B138" s="5" t="s">
        <v>287</v>
      </c>
      <c r="C138" s="5">
        <v>190</v>
      </c>
      <c r="D138" s="5" t="s">
        <v>12</v>
      </c>
      <c r="E138" s="5" t="s">
        <v>306</v>
      </c>
      <c r="F138" s="5">
        <v>5.91</v>
      </c>
      <c r="G138" s="14">
        <v>225</v>
      </c>
      <c r="H138" s="15">
        <v>1329.75</v>
      </c>
    </row>
    <row r="139" spans="1:8" x14ac:dyDescent="0.2">
      <c r="A139" s="13">
        <v>45650</v>
      </c>
      <c r="B139" s="5" t="s">
        <v>287</v>
      </c>
      <c r="C139" s="5">
        <v>210</v>
      </c>
      <c r="D139" s="5" t="s">
        <v>12</v>
      </c>
      <c r="E139" s="5" t="s">
        <v>306</v>
      </c>
      <c r="F139" s="5">
        <v>9.41</v>
      </c>
      <c r="G139" s="14">
        <v>225</v>
      </c>
      <c r="H139" s="15">
        <v>2117.25</v>
      </c>
    </row>
    <row r="140" spans="1:8" x14ac:dyDescent="0.2">
      <c r="A140" s="13">
        <v>45651</v>
      </c>
      <c r="B140" s="5" t="s">
        <v>284</v>
      </c>
      <c r="C140" s="5">
        <v>96</v>
      </c>
      <c r="D140" s="5" t="s">
        <v>12</v>
      </c>
      <c r="E140" s="5" t="s">
        <v>306</v>
      </c>
      <c r="F140" s="5">
        <v>7.64</v>
      </c>
      <c r="G140" s="14">
        <v>225</v>
      </c>
      <c r="H140" s="15">
        <v>1719</v>
      </c>
    </row>
    <row r="141" spans="1:8" x14ac:dyDescent="0.2">
      <c r="A141" s="13">
        <v>45652</v>
      </c>
      <c r="B141" s="5" t="s">
        <v>285</v>
      </c>
      <c r="C141" s="5">
        <v>56</v>
      </c>
      <c r="D141" s="5" t="s">
        <v>12</v>
      </c>
      <c r="E141" s="5" t="s">
        <v>306</v>
      </c>
      <c r="F141" s="5">
        <v>13.34</v>
      </c>
      <c r="G141" s="14">
        <v>225</v>
      </c>
      <c r="H141" s="15">
        <v>3001.5</v>
      </c>
    </row>
    <row r="142" spans="1:8" x14ac:dyDescent="0.2">
      <c r="A142" s="13">
        <v>45654</v>
      </c>
      <c r="B142" s="5" t="s">
        <v>286</v>
      </c>
      <c r="C142" s="5">
        <v>147</v>
      </c>
      <c r="D142" s="5" t="s">
        <v>12</v>
      </c>
      <c r="E142" s="5" t="s">
        <v>306</v>
      </c>
      <c r="F142" s="5">
        <v>8.07</v>
      </c>
      <c r="G142" s="14">
        <v>225</v>
      </c>
      <c r="H142" s="15">
        <v>1815.75</v>
      </c>
    </row>
    <row r="143" spans="1:8" x14ac:dyDescent="0.2">
      <c r="A143" s="17">
        <v>45654</v>
      </c>
      <c r="B143" s="6" t="s">
        <v>287</v>
      </c>
      <c r="C143" s="5">
        <v>137</v>
      </c>
      <c r="D143" s="6" t="s">
        <v>12</v>
      </c>
      <c r="E143" s="6" t="s">
        <v>306</v>
      </c>
      <c r="F143" s="6">
        <v>12.1</v>
      </c>
      <c r="G143" s="18">
        <v>225</v>
      </c>
      <c r="H143" s="19">
        <v>2722.5</v>
      </c>
    </row>
  </sheetData>
  <autoFilter ref="A1:H143" xr:uid="{B866B097-6DA4-425A-B986-585039C498FC}">
    <sortState xmlns:xlrd2="http://schemas.microsoft.com/office/spreadsheetml/2017/richdata2" ref="A2:H143">
      <sortCondition ref="A1"/>
    </sortState>
  </autoFilter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F733-8B95-44B7-B896-F284E5643C18}">
  <sheetPr>
    <tabColor theme="8" tint="0.79998168889431442"/>
  </sheetPr>
  <dimension ref="A1:C100"/>
  <sheetViews>
    <sheetView tabSelected="1" workbookViewId="0">
      <selection activeCell="E1" sqref="E1"/>
    </sheetView>
  </sheetViews>
  <sheetFormatPr baseColWidth="10" defaultRowHeight="14.25" x14ac:dyDescent="0.2"/>
  <sheetData>
    <row r="1" spans="1:3" ht="15" x14ac:dyDescent="0.25">
      <c r="A1" s="3" t="s">
        <v>307</v>
      </c>
      <c r="B1" s="3" t="s">
        <v>351</v>
      </c>
      <c r="C1" s="3" t="s">
        <v>352</v>
      </c>
    </row>
    <row r="2" spans="1:3" x14ac:dyDescent="0.2">
      <c r="A2" s="5">
        <v>97</v>
      </c>
      <c r="B2" s="5">
        <f>AVERAGEIF('Base de datos 2024 2'!$C$2:$C$143,'Corrección - Agregación'!A2,'Base de datos 2024 2'!$H$2:$H$143)</f>
        <v>2171.25</v>
      </c>
      <c r="C2" s="5">
        <f>COUNTIF('Base de datos 2024 2'!$C$2:$C$143,'Corrección - Agregación'!A2)</f>
        <v>2</v>
      </c>
    </row>
    <row r="3" spans="1:3" x14ac:dyDescent="0.2">
      <c r="A3" s="5">
        <v>133</v>
      </c>
      <c r="B3" s="5">
        <f>AVERAGEIF('Base de datos 2024 2'!$C$2:$C$143,'Corrección - Agregación'!A3,'Base de datos 2024 2'!$H$2:$H$143)</f>
        <v>3012.75</v>
      </c>
      <c r="C3" s="5">
        <f>COUNTIF('Base de datos 2024 2'!$C$2:$C$143,'Corrección - Agregación'!A3)</f>
        <v>2</v>
      </c>
    </row>
    <row r="4" spans="1:3" x14ac:dyDescent="0.2">
      <c r="A4" s="5">
        <v>79</v>
      </c>
      <c r="B4" s="5">
        <f>AVERAGEIF('Base de datos 2024 2'!$C$2:$C$143,'Corrección - Agregación'!A4,'Base de datos 2024 2'!$H$2:$H$143)</f>
        <v>1998</v>
      </c>
      <c r="C4" s="5">
        <f>COUNTIF('Base de datos 2024 2'!$C$2:$C$143,'Corrección - Agregación'!A4)</f>
        <v>2</v>
      </c>
    </row>
    <row r="5" spans="1:3" x14ac:dyDescent="0.2">
      <c r="A5" s="5">
        <v>11</v>
      </c>
      <c r="B5" s="5">
        <f>AVERAGEIF('Base de datos 2024 2'!$C$2:$C$143,'Corrección - Agregación'!A5,'Base de datos 2024 2'!$H$2:$H$143)</f>
        <v>2414.25</v>
      </c>
      <c r="C5" s="5">
        <f>COUNTIF('Base de datos 2024 2'!$C$2:$C$143,'Corrección - Agregación'!A5)</f>
        <v>2</v>
      </c>
    </row>
    <row r="6" spans="1:3" x14ac:dyDescent="0.2">
      <c r="A6" s="5">
        <v>57</v>
      </c>
      <c r="B6" s="5">
        <f>AVERAGEIF('Base de datos 2024 2'!$C$2:$C$143,'Corrección - Agregación'!A6,'Base de datos 2024 2'!$H$2:$H$143)</f>
        <v>2218.0500000000002</v>
      </c>
      <c r="C6" s="5">
        <f>COUNTIF('Base de datos 2024 2'!$C$2:$C$143,'Corrección - Agregación'!A6)</f>
        <v>5</v>
      </c>
    </row>
    <row r="7" spans="1:3" x14ac:dyDescent="0.2">
      <c r="A7" s="5">
        <v>153</v>
      </c>
      <c r="B7" s="5">
        <f>AVERAGEIF('Base de datos 2024 2'!$C$2:$C$143,'Corrección - Agregación'!A7,'Base de datos 2024 2'!$H$2:$H$143)</f>
        <v>1201.5</v>
      </c>
      <c r="C7" s="5">
        <f>COUNTIF('Base de datos 2024 2'!$C$2:$C$143,'Corrección - Agregación'!A7)</f>
        <v>1</v>
      </c>
    </row>
    <row r="8" spans="1:3" x14ac:dyDescent="0.2">
      <c r="A8" s="5">
        <v>205</v>
      </c>
      <c r="B8" s="5">
        <f>AVERAGEIF('Base de datos 2024 2'!$C$2:$C$143,'Corrección - Agregación'!A8,'Base de datos 2024 2'!$H$2:$H$143)</f>
        <v>2911.5</v>
      </c>
      <c r="C8" s="5">
        <f>COUNTIF('Base de datos 2024 2'!$C$2:$C$143,'Corrección - Agregación'!A8)</f>
        <v>1</v>
      </c>
    </row>
    <row r="9" spans="1:3" x14ac:dyDescent="0.2">
      <c r="A9" s="5">
        <v>110</v>
      </c>
      <c r="B9" s="5">
        <f>AVERAGEIF('Base de datos 2024 2'!$C$2:$C$143,'Corrección - Agregación'!A9,'Base de datos 2024 2'!$H$2:$H$143)</f>
        <v>2070</v>
      </c>
      <c r="C9" s="5">
        <f>COUNTIF('Base de datos 2024 2'!$C$2:$C$143,'Corrección - Agregación'!A9)</f>
        <v>1</v>
      </c>
    </row>
    <row r="10" spans="1:3" x14ac:dyDescent="0.2">
      <c r="A10" s="5">
        <v>85</v>
      </c>
      <c r="B10" s="5">
        <f>AVERAGEIF('Base de datos 2024 2'!$C$2:$C$143,'Corrección - Agregación'!A10,'Base de datos 2024 2'!$H$2:$H$143)</f>
        <v>2965.5</v>
      </c>
      <c r="C10" s="5">
        <f>COUNTIF('Base de datos 2024 2'!$C$2:$C$143,'Corrección - Agregación'!A10)</f>
        <v>3</v>
      </c>
    </row>
    <row r="11" spans="1:3" x14ac:dyDescent="0.2">
      <c r="A11" s="5">
        <v>51</v>
      </c>
      <c r="B11" s="5">
        <f>AVERAGEIF('Base de datos 2024 2'!$C$2:$C$143,'Corrección - Agregación'!A11,'Base de datos 2024 2'!$H$2:$H$143)</f>
        <v>2284.875</v>
      </c>
      <c r="C11" s="5">
        <f>COUNTIF('Base de datos 2024 2'!$C$2:$C$143,'Corrección - Agregación'!A11)</f>
        <v>2</v>
      </c>
    </row>
    <row r="12" spans="1:3" x14ac:dyDescent="0.2">
      <c r="A12" s="5">
        <v>158</v>
      </c>
      <c r="B12" s="5">
        <f>AVERAGEIF('Base de datos 2024 2'!$C$2:$C$143,'Corrección - Agregación'!A12,'Base de datos 2024 2'!$H$2:$H$143)</f>
        <v>2408.625</v>
      </c>
      <c r="C12" s="5">
        <f>COUNTIF('Base de datos 2024 2'!$C$2:$C$143,'Corrección - Agregación'!A12)</f>
        <v>2</v>
      </c>
    </row>
    <row r="13" spans="1:3" x14ac:dyDescent="0.2">
      <c r="A13" s="5">
        <v>116</v>
      </c>
      <c r="B13" s="5">
        <f>AVERAGEIF('Base de datos 2024 2'!$C$2:$C$143,'Corrección - Agregación'!A13,'Base de datos 2024 2'!$H$2:$H$143)</f>
        <v>2254.5</v>
      </c>
      <c r="C13" s="5">
        <f>COUNTIF('Base de datos 2024 2'!$C$2:$C$143,'Corrección - Agregación'!A13)</f>
        <v>3</v>
      </c>
    </row>
    <row r="14" spans="1:3" x14ac:dyDescent="0.2">
      <c r="A14" s="5">
        <v>68</v>
      </c>
      <c r="B14" s="5">
        <f>AVERAGEIF('Base de datos 2024 2'!$C$2:$C$143,'Corrección - Agregación'!A14,'Base de datos 2024 2'!$H$2:$H$143)</f>
        <v>1893.75</v>
      </c>
      <c r="C14" s="5">
        <f>COUNTIF('Base de datos 2024 2'!$C$2:$C$143,'Corrección - Agregación'!A14)</f>
        <v>3</v>
      </c>
    </row>
    <row r="15" spans="1:3" x14ac:dyDescent="0.2">
      <c r="A15" s="5">
        <v>131</v>
      </c>
      <c r="B15" s="5">
        <f>AVERAGEIF('Base de datos 2024 2'!$C$2:$C$143,'Corrección - Agregación'!A15,'Base de datos 2024 2'!$H$2:$H$143)</f>
        <v>2479.5</v>
      </c>
      <c r="C15" s="5">
        <f>COUNTIF('Base de datos 2024 2'!$C$2:$C$143,'Corrección - Agregación'!A15)</f>
        <v>1</v>
      </c>
    </row>
    <row r="16" spans="1:3" x14ac:dyDescent="0.2">
      <c r="A16" s="5">
        <v>44</v>
      </c>
      <c r="B16" s="5">
        <f>AVERAGEIF('Base de datos 2024 2'!$C$2:$C$143,'Corrección - Agregación'!A16,'Base de datos 2024 2'!$H$2:$H$143)</f>
        <v>2475</v>
      </c>
      <c r="C16" s="5">
        <f>COUNTIF('Base de datos 2024 2'!$C$2:$C$143,'Corrección - Agregación'!A16)</f>
        <v>1</v>
      </c>
    </row>
    <row r="17" spans="1:3" x14ac:dyDescent="0.2">
      <c r="A17" s="5">
        <v>99</v>
      </c>
      <c r="B17" s="5">
        <f>AVERAGEIF('Base de datos 2024 2'!$C$2:$C$143,'Corrección - Agregación'!A17,'Base de datos 2024 2'!$H$2:$H$143)</f>
        <v>1759.5</v>
      </c>
      <c r="C17" s="5">
        <f>COUNTIF('Base de datos 2024 2'!$C$2:$C$143,'Corrección - Agregación'!A17)</f>
        <v>4</v>
      </c>
    </row>
    <row r="18" spans="1:3" x14ac:dyDescent="0.2">
      <c r="A18" s="5">
        <v>191</v>
      </c>
      <c r="B18" s="5">
        <f>AVERAGEIF('Base de datos 2024 2'!$C$2:$C$143,'Corrección - Agregación'!A18,'Base de datos 2024 2'!$H$2:$H$143)</f>
        <v>1523.25</v>
      </c>
      <c r="C18" s="5">
        <f>COUNTIF('Base de datos 2024 2'!$C$2:$C$143,'Corrección - Agregación'!A18)</f>
        <v>1</v>
      </c>
    </row>
    <row r="19" spans="1:3" x14ac:dyDescent="0.2">
      <c r="A19" s="5">
        <v>121</v>
      </c>
      <c r="B19" s="5">
        <f>AVERAGEIF('Base de datos 2024 2'!$C$2:$C$143,'Corrección - Agregación'!A19,'Base de datos 2024 2'!$H$2:$H$143)</f>
        <v>2892.375</v>
      </c>
      <c r="C19" s="5">
        <f>COUNTIF('Base de datos 2024 2'!$C$2:$C$143,'Corrección - Agregación'!A19)</f>
        <v>2</v>
      </c>
    </row>
    <row r="20" spans="1:3" x14ac:dyDescent="0.2">
      <c r="A20" s="5">
        <v>170</v>
      </c>
      <c r="B20" s="5">
        <f>AVERAGEIF('Base de datos 2024 2'!$C$2:$C$143,'Corrección - Agregación'!A20,'Base de datos 2024 2'!$H$2:$H$143)</f>
        <v>1467</v>
      </c>
      <c r="C20" s="5">
        <f>COUNTIF('Base de datos 2024 2'!$C$2:$C$143,'Corrección - Agregación'!A20)</f>
        <v>1</v>
      </c>
    </row>
    <row r="21" spans="1:3" x14ac:dyDescent="0.2">
      <c r="A21" s="5">
        <v>106</v>
      </c>
      <c r="B21" s="5">
        <f>AVERAGEIF('Base de datos 2024 2'!$C$2:$C$143,'Corrección - Agregación'!A21,'Base de datos 2024 2'!$H$2:$H$143)</f>
        <v>1932.75</v>
      </c>
      <c r="C21" s="5">
        <f>COUNTIF('Base de datos 2024 2'!$C$2:$C$143,'Corrección - Agregación'!A21)</f>
        <v>1</v>
      </c>
    </row>
    <row r="22" spans="1:3" x14ac:dyDescent="0.2">
      <c r="A22" s="5">
        <v>161</v>
      </c>
      <c r="B22" s="5">
        <f>AVERAGEIF('Base de datos 2024 2'!$C$2:$C$143,'Corrección - Agregación'!A22,'Base de datos 2024 2'!$H$2:$H$143)</f>
        <v>3384</v>
      </c>
      <c r="C22" s="5">
        <f>COUNTIF('Base de datos 2024 2'!$C$2:$C$143,'Corrección - Agregación'!A22)</f>
        <v>1</v>
      </c>
    </row>
    <row r="23" spans="1:3" x14ac:dyDescent="0.2">
      <c r="A23" s="5">
        <v>175</v>
      </c>
      <c r="B23" s="5">
        <f>AVERAGEIF('Base de datos 2024 2'!$C$2:$C$143,'Corrección - Agregación'!A23,'Base de datos 2024 2'!$H$2:$H$143)</f>
        <v>3271.5</v>
      </c>
      <c r="C23" s="5">
        <f>COUNTIF('Base de datos 2024 2'!$C$2:$C$143,'Corrección - Agregación'!A23)</f>
        <v>1</v>
      </c>
    </row>
    <row r="24" spans="1:3" x14ac:dyDescent="0.2">
      <c r="A24" s="5">
        <v>159</v>
      </c>
      <c r="B24" s="5">
        <f>AVERAGEIF('Base de datos 2024 2'!$C$2:$C$143,'Corrección - Agregación'!A24,'Base de datos 2024 2'!$H$2:$H$143)</f>
        <v>2116.125</v>
      </c>
      <c r="C24" s="5">
        <f>COUNTIF('Base de datos 2024 2'!$C$2:$C$143,'Corrección - Agregación'!A24)</f>
        <v>2</v>
      </c>
    </row>
    <row r="25" spans="1:3" x14ac:dyDescent="0.2">
      <c r="A25" s="5">
        <v>209</v>
      </c>
      <c r="B25" s="5">
        <f>AVERAGEIF('Base de datos 2024 2'!$C$2:$C$143,'Corrección - Agregación'!A25,'Base de datos 2024 2'!$H$2:$H$143)</f>
        <v>3541.5</v>
      </c>
      <c r="C25" s="5">
        <f>COUNTIF('Base de datos 2024 2'!$C$2:$C$143,'Corrección - Agregación'!A25)</f>
        <v>1</v>
      </c>
    </row>
    <row r="26" spans="1:3" x14ac:dyDescent="0.2">
      <c r="A26" s="5">
        <v>19</v>
      </c>
      <c r="B26" s="5">
        <f>AVERAGEIF('Base de datos 2024 2'!$C$2:$C$143,'Corrección - Agregación'!A26,'Base de datos 2024 2'!$H$2:$H$143)</f>
        <v>3474</v>
      </c>
      <c r="C26" s="5">
        <f>COUNTIF('Base de datos 2024 2'!$C$2:$C$143,'Corrección - Agregación'!A26)</f>
        <v>1</v>
      </c>
    </row>
    <row r="27" spans="1:3" x14ac:dyDescent="0.2">
      <c r="A27" s="5">
        <v>90</v>
      </c>
      <c r="B27" s="5">
        <f>AVERAGEIF('Base de datos 2024 2'!$C$2:$C$143,'Corrección - Agregación'!A27,'Base de datos 2024 2'!$H$2:$H$143)</f>
        <v>3060</v>
      </c>
      <c r="C27" s="5">
        <f>COUNTIF('Base de datos 2024 2'!$C$2:$C$143,'Corrección - Agregación'!A27)</f>
        <v>1</v>
      </c>
    </row>
    <row r="28" spans="1:3" x14ac:dyDescent="0.2">
      <c r="A28" s="5">
        <v>145</v>
      </c>
      <c r="B28" s="5">
        <f>AVERAGEIF('Base de datos 2024 2'!$C$2:$C$143,'Corrección - Agregación'!A28,'Base de datos 2024 2'!$H$2:$H$143)</f>
        <v>2493</v>
      </c>
      <c r="C28" s="5">
        <f>COUNTIF('Base de datos 2024 2'!$C$2:$C$143,'Corrección - Agregación'!A28)</f>
        <v>3</v>
      </c>
    </row>
    <row r="29" spans="1:3" x14ac:dyDescent="0.2">
      <c r="A29" s="5">
        <v>108</v>
      </c>
      <c r="B29" s="5">
        <f>AVERAGEIF('Base de datos 2024 2'!$C$2:$C$143,'Corrección - Agregación'!A29,'Base de datos 2024 2'!$H$2:$H$143)</f>
        <v>2642.625</v>
      </c>
      <c r="C29" s="5">
        <f>COUNTIF('Base de datos 2024 2'!$C$2:$C$143,'Corrección - Agregación'!A29)</f>
        <v>2</v>
      </c>
    </row>
    <row r="30" spans="1:3" x14ac:dyDescent="0.2">
      <c r="A30" s="5">
        <v>45</v>
      </c>
      <c r="B30" s="5">
        <f>AVERAGEIF('Base de datos 2024 2'!$C$2:$C$143,'Corrección - Agregación'!A30,'Base de datos 2024 2'!$H$2:$H$143)</f>
        <v>2187</v>
      </c>
      <c r="C30" s="5">
        <f>COUNTIF('Base de datos 2024 2'!$C$2:$C$143,'Corrección - Agregación'!A30)</f>
        <v>1</v>
      </c>
    </row>
    <row r="31" spans="1:3" x14ac:dyDescent="0.2">
      <c r="A31" s="5">
        <v>27</v>
      </c>
      <c r="B31" s="5">
        <f>AVERAGEIF('Base de datos 2024 2'!$C$2:$C$143,'Corrección - Agregación'!A31,'Base de datos 2024 2'!$H$2:$H$143)</f>
        <v>1451.25</v>
      </c>
      <c r="C31" s="5">
        <f>COUNTIF('Base de datos 2024 2'!$C$2:$C$143,'Corrección - Agregación'!A31)</f>
        <v>1</v>
      </c>
    </row>
    <row r="32" spans="1:3" x14ac:dyDescent="0.2">
      <c r="A32" s="5">
        <v>87</v>
      </c>
      <c r="B32" s="5">
        <f>AVERAGEIF('Base de datos 2024 2'!$C$2:$C$143,'Corrección - Agregación'!A32,'Base de datos 2024 2'!$H$2:$H$143)</f>
        <v>3080.25</v>
      </c>
      <c r="C32" s="5">
        <f>COUNTIF('Base de datos 2024 2'!$C$2:$C$143,'Corrección - Agregación'!A32)</f>
        <v>2</v>
      </c>
    </row>
    <row r="33" spans="1:3" x14ac:dyDescent="0.2">
      <c r="A33" s="5">
        <v>136</v>
      </c>
      <c r="B33" s="5">
        <f>AVERAGEIF('Base de datos 2024 2'!$C$2:$C$143,'Corrección - Agregación'!A33,'Base de datos 2024 2'!$H$2:$H$143)</f>
        <v>1116</v>
      </c>
      <c r="C33" s="5">
        <f>COUNTIF('Base de datos 2024 2'!$C$2:$C$143,'Corrección - Agregación'!A33)</f>
        <v>1</v>
      </c>
    </row>
    <row r="34" spans="1:3" x14ac:dyDescent="0.2">
      <c r="A34" s="5">
        <v>30</v>
      </c>
      <c r="B34" s="5">
        <f>AVERAGEIF('Base de datos 2024 2'!$C$2:$C$143,'Corrección - Agregación'!A34,'Base de datos 2024 2'!$H$2:$H$143)</f>
        <v>1301.625</v>
      </c>
      <c r="C34" s="5">
        <f>COUNTIF('Base de datos 2024 2'!$C$2:$C$143,'Corrección - Agregación'!A34)</f>
        <v>2</v>
      </c>
    </row>
    <row r="35" spans="1:3" x14ac:dyDescent="0.2">
      <c r="A35" s="5">
        <v>115</v>
      </c>
      <c r="B35" s="5">
        <f>AVERAGEIF('Base de datos 2024 2'!$C$2:$C$143,'Corrección - Agregación'!A35,'Base de datos 2024 2'!$H$2:$H$143)</f>
        <v>1664.4375</v>
      </c>
      <c r="C35" s="5">
        <f>COUNTIF('Base de datos 2024 2'!$C$2:$C$143,'Corrección - Agregación'!A35)</f>
        <v>4</v>
      </c>
    </row>
    <row r="36" spans="1:3" x14ac:dyDescent="0.2">
      <c r="A36" s="5">
        <v>185</v>
      </c>
      <c r="B36" s="5">
        <f>AVERAGEIF('Base de datos 2024 2'!$C$2:$C$143,'Corrección - Agregación'!A36,'Base de datos 2024 2'!$H$2:$H$143)</f>
        <v>1808.9999999999998</v>
      </c>
      <c r="C36" s="5">
        <f>COUNTIF('Base de datos 2024 2'!$C$2:$C$143,'Corrección - Agregación'!A36)</f>
        <v>1</v>
      </c>
    </row>
    <row r="37" spans="1:3" x14ac:dyDescent="0.2">
      <c r="A37" s="5">
        <v>126</v>
      </c>
      <c r="B37" s="5">
        <f>AVERAGEIF('Base de datos 2024 2'!$C$2:$C$143,'Corrección - Agregación'!A37,'Base de datos 2024 2'!$H$2:$H$143)</f>
        <v>3363.75</v>
      </c>
      <c r="C37" s="5">
        <f>COUNTIF('Base de datos 2024 2'!$C$2:$C$143,'Corrección - Agregación'!A37)</f>
        <v>1</v>
      </c>
    </row>
    <row r="38" spans="1:3" x14ac:dyDescent="0.2">
      <c r="A38" s="5">
        <v>169</v>
      </c>
      <c r="B38" s="5">
        <f>AVERAGEIF('Base de datos 2024 2'!$C$2:$C$143,'Corrección - Agregación'!A38,'Base de datos 2024 2'!$H$2:$H$143)</f>
        <v>2996.4375</v>
      </c>
      <c r="C38" s="5">
        <f>COUNTIF('Base de datos 2024 2'!$C$2:$C$143,'Corrección - Agregación'!A38)</f>
        <v>4</v>
      </c>
    </row>
    <row r="39" spans="1:3" x14ac:dyDescent="0.2">
      <c r="A39" s="5">
        <v>114</v>
      </c>
      <c r="B39" s="5">
        <f>AVERAGEIF('Base de datos 2024 2'!$C$2:$C$143,'Corrección - Agregación'!A39,'Base de datos 2024 2'!$H$2:$H$143)</f>
        <v>3577.5</v>
      </c>
      <c r="C39" s="5">
        <f>COUNTIF('Base de datos 2024 2'!$C$2:$C$143,'Corrección - Agregación'!A39)</f>
        <v>1</v>
      </c>
    </row>
    <row r="40" spans="1:3" x14ac:dyDescent="0.2">
      <c r="A40" s="5">
        <v>203</v>
      </c>
      <c r="B40" s="5">
        <f>AVERAGEIF('Base de datos 2024 2'!$C$2:$C$143,'Corrección - Agregación'!A40,'Base de datos 2024 2'!$H$2:$H$143)</f>
        <v>3478.5</v>
      </c>
      <c r="C40" s="5">
        <f>COUNTIF('Base de datos 2024 2'!$C$2:$C$143,'Corrección - Agregación'!A40)</f>
        <v>1</v>
      </c>
    </row>
    <row r="41" spans="1:3" x14ac:dyDescent="0.2">
      <c r="A41" s="5">
        <v>47</v>
      </c>
      <c r="B41" s="5">
        <f>AVERAGEIF('Base de datos 2024 2'!$C$2:$C$143,'Corrección - Agregación'!A41,'Base de datos 2024 2'!$H$2:$H$143)</f>
        <v>2817</v>
      </c>
      <c r="C41" s="5">
        <f>COUNTIF('Base de datos 2024 2'!$C$2:$C$143,'Corrección - Agregación'!A41)</f>
        <v>1</v>
      </c>
    </row>
    <row r="42" spans="1:3" x14ac:dyDescent="0.2">
      <c r="A42" s="5">
        <v>88</v>
      </c>
      <c r="B42" s="5">
        <f>AVERAGEIF('Base de datos 2024 2'!$C$2:$C$143,'Corrección - Agregación'!A42,'Base de datos 2024 2'!$H$2:$H$143)</f>
        <v>2066.625</v>
      </c>
      <c r="C42" s="5">
        <f>COUNTIF('Base de datos 2024 2'!$C$2:$C$143,'Corrección - Agregación'!A42)</f>
        <v>2</v>
      </c>
    </row>
    <row r="43" spans="1:3" x14ac:dyDescent="0.2">
      <c r="A43" s="5">
        <v>194</v>
      </c>
      <c r="B43" s="5">
        <f>AVERAGEIF('Base de datos 2024 2'!$C$2:$C$143,'Corrección - Agregación'!A43,'Base de datos 2024 2'!$H$2:$H$143)</f>
        <v>2736</v>
      </c>
      <c r="C43" s="5">
        <f>COUNTIF('Base de datos 2024 2'!$C$2:$C$143,'Corrección - Agregación'!A43)</f>
        <v>1</v>
      </c>
    </row>
    <row r="44" spans="1:3" x14ac:dyDescent="0.2">
      <c r="A44" s="5">
        <v>199</v>
      </c>
      <c r="B44" s="5">
        <f>AVERAGEIF('Base de datos 2024 2'!$C$2:$C$143,'Corrección - Agregación'!A44,'Base de datos 2024 2'!$H$2:$H$143)</f>
        <v>2108.25</v>
      </c>
      <c r="C44" s="5">
        <f>COUNTIF('Base de datos 2024 2'!$C$2:$C$143,'Corrección - Agregación'!A44)</f>
        <v>1</v>
      </c>
    </row>
    <row r="45" spans="1:3" x14ac:dyDescent="0.2">
      <c r="A45" s="5">
        <v>148</v>
      </c>
      <c r="B45" s="5">
        <f>AVERAGEIF('Base de datos 2024 2'!$C$2:$C$143,'Corrección - Agregación'!A45,'Base de datos 2024 2'!$H$2:$H$143)</f>
        <v>2655</v>
      </c>
      <c r="C45" s="5">
        <f>COUNTIF('Base de datos 2024 2'!$C$2:$C$143,'Corrección - Agregación'!A45)</f>
        <v>1</v>
      </c>
    </row>
    <row r="46" spans="1:3" x14ac:dyDescent="0.2">
      <c r="A46" s="5">
        <v>167</v>
      </c>
      <c r="B46" s="5">
        <f>AVERAGEIF('Base de datos 2024 2'!$C$2:$C$143,'Corrección - Agregación'!A46,'Base de datos 2024 2'!$H$2:$H$143)</f>
        <v>2931.75</v>
      </c>
      <c r="C46" s="5">
        <f>COUNTIF('Base de datos 2024 2'!$C$2:$C$143,'Corrección - Agregación'!A46)</f>
        <v>1</v>
      </c>
    </row>
    <row r="47" spans="1:3" x14ac:dyDescent="0.2">
      <c r="A47" s="5">
        <v>78</v>
      </c>
      <c r="B47" s="5">
        <f>AVERAGEIF('Base de datos 2024 2'!$C$2:$C$143,'Corrección - Agregación'!A47,'Base de datos 2024 2'!$H$2:$H$143)</f>
        <v>1174.5</v>
      </c>
      <c r="C47" s="5">
        <f>COUNTIF('Base de datos 2024 2'!$C$2:$C$143,'Corrección - Agregación'!A47)</f>
        <v>1</v>
      </c>
    </row>
    <row r="48" spans="1:3" x14ac:dyDescent="0.2">
      <c r="A48" s="5">
        <v>42</v>
      </c>
      <c r="B48" s="5">
        <f>AVERAGEIF('Base de datos 2024 2'!$C$2:$C$143,'Corrección - Agregación'!A48,'Base de datos 2024 2'!$H$2:$H$143)</f>
        <v>1397.25</v>
      </c>
      <c r="C48" s="5">
        <f>COUNTIF('Base de datos 2024 2'!$C$2:$C$143,'Corrección - Agregación'!A48)</f>
        <v>1</v>
      </c>
    </row>
    <row r="49" spans="1:3" x14ac:dyDescent="0.2">
      <c r="A49" s="5">
        <v>157</v>
      </c>
      <c r="B49" s="5">
        <f>AVERAGEIF('Base de datos 2024 2'!$C$2:$C$143,'Corrección - Agregación'!A49,'Base de datos 2024 2'!$H$2:$H$143)</f>
        <v>2754</v>
      </c>
      <c r="C49" s="5">
        <f>COUNTIF('Base de datos 2024 2'!$C$2:$C$143,'Corrección - Agregación'!A49)</f>
        <v>1</v>
      </c>
    </row>
    <row r="50" spans="1:3" x14ac:dyDescent="0.2">
      <c r="A50" s="5">
        <v>183</v>
      </c>
      <c r="B50" s="5">
        <f>AVERAGEIF('Base de datos 2024 2'!$C$2:$C$143,'Corrección - Agregación'!A50,'Base de datos 2024 2'!$H$2:$H$143)</f>
        <v>3534.75</v>
      </c>
      <c r="C50" s="5">
        <f>COUNTIF('Base de datos 2024 2'!$C$2:$C$143,'Corrección - Agregación'!A50)</f>
        <v>1</v>
      </c>
    </row>
    <row r="51" spans="1:3" x14ac:dyDescent="0.2">
      <c r="A51" s="5">
        <v>73</v>
      </c>
      <c r="B51" s="5">
        <f>AVERAGEIF('Base de datos 2024 2'!$C$2:$C$143,'Corrección - Agregación'!A51,'Base de datos 2024 2'!$H$2:$H$143)</f>
        <v>3496.5</v>
      </c>
      <c r="C51" s="5">
        <f>COUNTIF('Base de datos 2024 2'!$C$2:$C$143,'Corrección - Agregación'!A51)</f>
        <v>1</v>
      </c>
    </row>
    <row r="52" spans="1:3" x14ac:dyDescent="0.2">
      <c r="A52" s="5">
        <v>95</v>
      </c>
      <c r="B52" s="5">
        <f>AVERAGEIF('Base de datos 2024 2'!$C$2:$C$143,'Corrección - Agregación'!A52,'Base de datos 2024 2'!$H$2:$H$143)</f>
        <v>1016.9999999999999</v>
      </c>
      <c r="C52" s="5">
        <f>COUNTIF('Base de datos 2024 2'!$C$2:$C$143,'Corrección - Agregación'!A52)</f>
        <v>1</v>
      </c>
    </row>
    <row r="53" spans="1:3" x14ac:dyDescent="0.2">
      <c r="A53" s="5">
        <v>178</v>
      </c>
      <c r="B53" s="5">
        <f>AVERAGEIF('Base de datos 2024 2'!$C$2:$C$143,'Corrección - Agregación'!A53,'Base de datos 2024 2'!$H$2:$H$143)</f>
        <v>1986.75</v>
      </c>
      <c r="C53" s="5">
        <f>COUNTIF('Base de datos 2024 2'!$C$2:$C$143,'Corrección - Agregación'!A53)</f>
        <v>1</v>
      </c>
    </row>
    <row r="54" spans="1:3" x14ac:dyDescent="0.2">
      <c r="A54" s="5">
        <v>37</v>
      </c>
      <c r="B54" s="5">
        <f>AVERAGEIF('Base de datos 2024 2'!$C$2:$C$143,'Corrección - Agregación'!A54,'Base de datos 2024 2'!$H$2:$H$143)</f>
        <v>2598.75</v>
      </c>
      <c r="C54" s="5">
        <f>COUNTIF('Base de datos 2024 2'!$C$2:$C$143,'Corrección - Agregación'!A54)</f>
        <v>1</v>
      </c>
    </row>
    <row r="55" spans="1:3" x14ac:dyDescent="0.2">
      <c r="A55" s="5">
        <v>81</v>
      </c>
      <c r="B55" s="5">
        <f>AVERAGEIF('Base de datos 2024 2'!$C$2:$C$143,'Corrección - Agregación'!A55,'Base de datos 2024 2'!$H$2:$H$143)</f>
        <v>2191.5</v>
      </c>
      <c r="C55" s="5">
        <f>COUNTIF('Base de datos 2024 2'!$C$2:$C$143,'Corrección - Agregación'!A55)</f>
        <v>1</v>
      </c>
    </row>
    <row r="56" spans="1:3" x14ac:dyDescent="0.2">
      <c r="A56" s="5">
        <v>31</v>
      </c>
      <c r="B56" s="5">
        <f>AVERAGEIF('Base de datos 2024 2'!$C$2:$C$143,'Corrección - Agregación'!A56,'Base de datos 2024 2'!$H$2:$H$143)</f>
        <v>2889</v>
      </c>
      <c r="C56" s="5">
        <f>COUNTIF('Base de datos 2024 2'!$C$2:$C$143,'Corrección - Agregación'!A56)</f>
        <v>2</v>
      </c>
    </row>
    <row r="57" spans="1:3" x14ac:dyDescent="0.2">
      <c r="A57" s="5">
        <v>7</v>
      </c>
      <c r="B57" s="5">
        <f>AVERAGEIF('Base de datos 2024 2'!$C$2:$C$143,'Corrección - Agregación'!A57,'Base de datos 2024 2'!$H$2:$H$143)</f>
        <v>3514.5</v>
      </c>
      <c r="C57" s="5">
        <f>COUNTIF('Base de datos 2024 2'!$C$2:$C$143,'Corrección - Agregación'!A57)</f>
        <v>1</v>
      </c>
    </row>
    <row r="58" spans="1:3" x14ac:dyDescent="0.2">
      <c r="A58" s="5">
        <v>29</v>
      </c>
      <c r="B58" s="5">
        <f>AVERAGEIF('Base de datos 2024 2'!$C$2:$C$143,'Corrección - Agregación'!A58,'Base de datos 2024 2'!$H$2:$H$143)</f>
        <v>2119.5</v>
      </c>
      <c r="C58" s="5">
        <f>COUNTIF('Base de datos 2024 2'!$C$2:$C$143,'Corrección - Agregación'!A58)</f>
        <v>1</v>
      </c>
    </row>
    <row r="59" spans="1:3" x14ac:dyDescent="0.2">
      <c r="A59" s="5">
        <v>172</v>
      </c>
      <c r="B59" s="5">
        <f>AVERAGEIF('Base de datos 2024 2'!$C$2:$C$143,'Corrección - Agregación'!A59,'Base de datos 2024 2'!$H$2:$H$143)</f>
        <v>2182.5</v>
      </c>
      <c r="C59" s="5">
        <f>COUNTIF('Base de datos 2024 2'!$C$2:$C$143,'Corrección - Agregación'!A59)</f>
        <v>2</v>
      </c>
    </row>
    <row r="60" spans="1:3" x14ac:dyDescent="0.2">
      <c r="A60" s="5">
        <v>154</v>
      </c>
      <c r="B60" s="5">
        <f>AVERAGEIF('Base de datos 2024 2'!$C$2:$C$143,'Corrección - Agregación'!A60,'Base de datos 2024 2'!$H$2:$H$143)</f>
        <v>1233</v>
      </c>
      <c r="C60" s="5">
        <f>COUNTIF('Base de datos 2024 2'!$C$2:$C$143,'Corrección - Agregación'!A60)</f>
        <v>1</v>
      </c>
    </row>
    <row r="61" spans="1:3" x14ac:dyDescent="0.2">
      <c r="A61" s="5">
        <v>53</v>
      </c>
      <c r="B61" s="5">
        <f>AVERAGEIF('Base de datos 2024 2'!$C$2:$C$143,'Corrección - Agregación'!A61,'Base de datos 2024 2'!$H$2:$H$143)</f>
        <v>2872.125</v>
      </c>
      <c r="C61" s="5">
        <f>COUNTIF('Base de datos 2024 2'!$C$2:$C$143,'Corrección - Agregación'!A61)</f>
        <v>2</v>
      </c>
    </row>
    <row r="62" spans="1:3" x14ac:dyDescent="0.2">
      <c r="A62" s="5">
        <v>48</v>
      </c>
      <c r="B62" s="5">
        <f>AVERAGEIF('Base de datos 2024 2'!$C$2:$C$143,'Corrección - Agregación'!A62,'Base de datos 2024 2'!$H$2:$H$143)</f>
        <v>1705.5</v>
      </c>
      <c r="C62" s="5">
        <f>COUNTIF('Base de datos 2024 2'!$C$2:$C$143,'Corrección - Agregación'!A62)</f>
        <v>1</v>
      </c>
    </row>
    <row r="63" spans="1:3" x14ac:dyDescent="0.2">
      <c r="A63" s="5">
        <v>149</v>
      </c>
      <c r="B63" s="5">
        <f>AVERAGEIF('Base de datos 2024 2'!$C$2:$C$143,'Corrección - Agregación'!A63,'Base de datos 2024 2'!$H$2:$H$143)</f>
        <v>1892.25</v>
      </c>
      <c r="C63" s="5">
        <f>COUNTIF('Base de datos 2024 2'!$C$2:$C$143,'Corrección - Agregación'!A63)</f>
        <v>1</v>
      </c>
    </row>
    <row r="64" spans="1:3" x14ac:dyDescent="0.2">
      <c r="A64" s="5">
        <v>104</v>
      </c>
      <c r="B64" s="5">
        <f>AVERAGEIF('Base de datos 2024 2'!$C$2:$C$143,'Corrección - Agregación'!A64,'Base de datos 2024 2'!$H$2:$H$143)</f>
        <v>2963.25</v>
      </c>
      <c r="C64" s="5">
        <f>COUNTIF('Base de datos 2024 2'!$C$2:$C$143,'Corrección - Agregación'!A64)</f>
        <v>1</v>
      </c>
    </row>
    <row r="65" spans="1:3" x14ac:dyDescent="0.2">
      <c r="A65" s="5">
        <v>123</v>
      </c>
      <c r="B65" s="5">
        <f>AVERAGEIF('Base de datos 2024 2'!$C$2:$C$143,'Corrección - Agregación'!A65,'Base de datos 2024 2'!$H$2:$H$143)</f>
        <v>2322</v>
      </c>
      <c r="C65" s="5">
        <f>COUNTIF('Base de datos 2024 2'!$C$2:$C$143,'Corrección - Agregación'!A65)</f>
        <v>1</v>
      </c>
    </row>
    <row r="66" spans="1:3" x14ac:dyDescent="0.2">
      <c r="A66" s="5">
        <v>60</v>
      </c>
      <c r="B66" s="5">
        <f>AVERAGEIF('Base de datos 2024 2'!$C$2:$C$143,'Corrección - Agregación'!A66,'Base de datos 2024 2'!$H$2:$H$143)</f>
        <v>1847.2500000000002</v>
      </c>
      <c r="C66" s="5">
        <f>COUNTIF('Base de datos 2024 2'!$C$2:$C$143,'Corrección - Agregación'!A66)</f>
        <v>1</v>
      </c>
    </row>
    <row r="67" spans="1:3" x14ac:dyDescent="0.2">
      <c r="A67" s="5">
        <v>113</v>
      </c>
      <c r="B67" s="5">
        <f>AVERAGEIF('Base de datos 2024 2'!$C$2:$C$143,'Corrección - Agregación'!A67,'Base de datos 2024 2'!$H$2:$H$143)</f>
        <v>2925</v>
      </c>
      <c r="C67" s="5">
        <f>COUNTIF('Base de datos 2024 2'!$C$2:$C$143,'Corrección - Agregación'!A67)</f>
        <v>1</v>
      </c>
    </row>
    <row r="68" spans="1:3" x14ac:dyDescent="0.2">
      <c r="A68" s="5">
        <v>65</v>
      </c>
      <c r="B68" s="5">
        <f>AVERAGEIF('Base de datos 2024 2'!$C$2:$C$143,'Corrección - Agregación'!A68,'Base de datos 2024 2'!$H$2:$H$143)</f>
        <v>3267</v>
      </c>
      <c r="C68" s="5">
        <f>COUNTIF('Base de datos 2024 2'!$C$2:$C$143,'Corrección - Agregación'!A68)</f>
        <v>2</v>
      </c>
    </row>
    <row r="69" spans="1:3" x14ac:dyDescent="0.2">
      <c r="A69" s="5">
        <v>102</v>
      </c>
      <c r="B69" s="5">
        <f>AVERAGEIF('Base de datos 2024 2'!$C$2:$C$143,'Corrección - Agregación'!A69,'Base de datos 2024 2'!$H$2:$H$143)</f>
        <v>2679.75</v>
      </c>
      <c r="C69" s="5">
        <f>COUNTIF('Base de datos 2024 2'!$C$2:$C$143,'Corrección - Agregación'!A69)</f>
        <v>2</v>
      </c>
    </row>
    <row r="70" spans="1:3" x14ac:dyDescent="0.2">
      <c r="A70" s="5">
        <v>41</v>
      </c>
      <c r="B70" s="5">
        <f>AVERAGEIF('Base de datos 2024 2'!$C$2:$C$143,'Corrección - Agregación'!A70,'Base de datos 2024 2'!$H$2:$H$143)</f>
        <v>1062</v>
      </c>
      <c r="C70" s="5">
        <f>COUNTIF('Base de datos 2024 2'!$C$2:$C$143,'Corrección - Agregación'!A70)</f>
        <v>1</v>
      </c>
    </row>
    <row r="71" spans="1:3" x14ac:dyDescent="0.2">
      <c r="A71" s="5">
        <v>139</v>
      </c>
      <c r="B71" s="5">
        <f>AVERAGEIF('Base de datos 2024 2'!$C$2:$C$143,'Corrección - Agregación'!A71,'Base de datos 2024 2'!$H$2:$H$143)</f>
        <v>2490.75</v>
      </c>
      <c r="C71" s="5">
        <f>COUNTIF('Base de datos 2024 2'!$C$2:$C$143,'Corrección - Agregación'!A71)</f>
        <v>1</v>
      </c>
    </row>
    <row r="72" spans="1:3" x14ac:dyDescent="0.2">
      <c r="A72" s="5">
        <v>18</v>
      </c>
      <c r="B72" s="5">
        <f>AVERAGEIF('Base de datos 2024 2'!$C$2:$C$143,'Corrección - Agregación'!A72,'Base de datos 2024 2'!$H$2:$H$143)</f>
        <v>2707.875</v>
      </c>
      <c r="C72" s="5">
        <f>COUNTIF('Base de datos 2024 2'!$C$2:$C$143,'Corrección - Agregación'!A72)</f>
        <v>2</v>
      </c>
    </row>
    <row r="73" spans="1:3" x14ac:dyDescent="0.2">
      <c r="A73" s="5">
        <v>107</v>
      </c>
      <c r="B73" s="5">
        <f>AVERAGEIF('Base de datos 2024 2'!$C$2:$C$143,'Corrección - Agregación'!A73,'Base de datos 2024 2'!$H$2:$H$143)</f>
        <v>2323.125</v>
      </c>
      <c r="C73" s="5">
        <f>COUNTIF('Base de datos 2024 2'!$C$2:$C$143,'Corrección - Agregación'!A73)</f>
        <v>2</v>
      </c>
    </row>
    <row r="74" spans="1:3" x14ac:dyDescent="0.2">
      <c r="A74" s="5">
        <v>2</v>
      </c>
      <c r="B74" s="5">
        <f>AVERAGEIF('Base de datos 2024 2'!$C$2:$C$143,'Corrección - Agregación'!A74,'Base de datos 2024 2'!$H$2:$H$143)</f>
        <v>2486.25</v>
      </c>
      <c r="C74" s="5">
        <f>COUNTIF('Base de datos 2024 2'!$C$2:$C$143,'Corrección - Agregación'!A74)</f>
        <v>1</v>
      </c>
    </row>
    <row r="75" spans="1:3" x14ac:dyDescent="0.2">
      <c r="A75" s="5">
        <v>164</v>
      </c>
      <c r="B75" s="5">
        <f>AVERAGEIF('Base de datos 2024 2'!$C$2:$C$143,'Corrección - Agregación'!A75,'Base de datos 2024 2'!$H$2:$H$143)</f>
        <v>1163.25</v>
      </c>
      <c r="C75" s="5">
        <f>COUNTIF('Base de datos 2024 2'!$C$2:$C$143,'Corrección - Agregación'!A75)</f>
        <v>1</v>
      </c>
    </row>
    <row r="76" spans="1:3" x14ac:dyDescent="0.2">
      <c r="A76" s="5">
        <v>134</v>
      </c>
      <c r="B76" s="5">
        <f>AVERAGEIF('Base de datos 2024 2'!$C$2:$C$143,'Corrección - Agregación'!A76,'Base de datos 2024 2'!$H$2:$H$143)</f>
        <v>3255.75</v>
      </c>
      <c r="C76" s="5">
        <f>COUNTIF('Base de datos 2024 2'!$C$2:$C$143,'Corrección - Agregación'!A76)</f>
        <v>1</v>
      </c>
    </row>
    <row r="77" spans="1:3" x14ac:dyDescent="0.2">
      <c r="A77" s="5">
        <v>174</v>
      </c>
      <c r="B77" s="5">
        <f>AVERAGEIF('Base de datos 2024 2'!$C$2:$C$143,'Corrección - Agregación'!A77,'Base de datos 2024 2'!$H$2:$H$143)</f>
        <v>1444.5</v>
      </c>
      <c r="C77" s="5">
        <f>COUNTIF('Base de datos 2024 2'!$C$2:$C$143,'Corrección - Agregación'!A77)</f>
        <v>1</v>
      </c>
    </row>
    <row r="78" spans="1:3" x14ac:dyDescent="0.2">
      <c r="A78" s="5">
        <v>132</v>
      </c>
      <c r="B78" s="5">
        <f>AVERAGEIF('Base de datos 2024 2'!$C$2:$C$143,'Corrección - Agregación'!A78,'Base de datos 2024 2'!$H$2:$H$143)</f>
        <v>2053.125</v>
      </c>
      <c r="C78" s="5">
        <f>COUNTIF('Base de datos 2024 2'!$C$2:$C$143,'Corrección - Agregación'!A78)</f>
        <v>2</v>
      </c>
    </row>
    <row r="79" spans="1:3" x14ac:dyDescent="0.2">
      <c r="A79" s="5">
        <v>1</v>
      </c>
      <c r="B79" s="5">
        <f>AVERAGEIF('Base de datos 2024 2'!$C$2:$C$143,'Corrección - Agregación'!A79,'Base de datos 2024 2'!$H$2:$H$143)</f>
        <v>1635.75</v>
      </c>
      <c r="C79" s="5">
        <f>COUNTIF('Base de datos 2024 2'!$C$2:$C$143,'Corrección - Agregación'!A79)</f>
        <v>1</v>
      </c>
    </row>
    <row r="80" spans="1:3" x14ac:dyDescent="0.2">
      <c r="A80" s="5">
        <v>72</v>
      </c>
      <c r="B80" s="5">
        <f>AVERAGEIF('Base de datos 2024 2'!$C$2:$C$143,'Corrección - Agregación'!A80,'Base de datos 2024 2'!$H$2:$H$143)</f>
        <v>1917</v>
      </c>
      <c r="C80" s="5">
        <f>COUNTIF('Base de datos 2024 2'!$C$2:$C$143,'Corrección - Agregación'!A80)</f>
        <v>1</v>
      </c>
    </row>
    <row r="81" spans="1:3" x14ac:dyDescent="0.2">
      <c r="A81" s="5">
        <v>3</v>
      </c>
      <c r="B81" s="5">
        <f>AVERAGEIF('Base de datos 2024 2'!$C$2:$C$143,'Corrección - Agregación'!A81,'Base de datos 2024 2'!$H$2:$H$143)</f>
        <v>3024</v>
      </c>
      <c r="C81" s="5">
        <f>COUNTIF('Base de datos 2024 2'!$C$2:$C$143,'Corrección - Agregación'!A81)</f>
        <v>1</v>
      </c>
    </row>
    <row r="82" spans="1:3" x14ac:dyDescent="0.2">
      <c r="A82" s="5">
        <v>32</v>
      </c>
      <c r="B82" s="5">
        <f>AVERAGEIF('Base de datos 2024 2'!$C$2:$C$143,'Corrección - Agregación'!A82,'Base de datos 2024 2'!$H$2:$H$143)</f>
        <v>2853</v>
      </c>
      <c r="C82" s="5">
        <f>COUNTIF('Base de datos 2024 2'!$C$2:$C$143,'Corrección - Agregación'!A82)</f>
        <v>1</v>
      </c>
    </row>
    <row r="83" spans="1:3" x14ac:dyDescent="0.2">
      <c r="A83" s="5">
        <v>35</v>
      </c>
      <c r="B83" s="5">
        <f>AVERAGEIF('Base de datos 2024 2'!$C$2:$C$143,'Corrección - Agregación'!A83,'Base de datos 2024 2'!$H$2:$H$143)</f>
        <v>2315.25</v>
      </c>
      <c r="C83" s="5">
        <f>COUNTIF('Base de datos 2024 2'!$C$2:$C$143,'Corrección - Agregación'!A83)</f>
        <v>2</v>
      </c>
    </row>
    <row r="84" spans="1:3" x14ac:dyDescent="0.2">
      <c r="A84" s="5">
        <v>39</v>
      </c>
      <c r="B84" s="5">
        <f>AVERAGEIF('Base de datos 2024 2'!$C$2:$C$143,'Corrección - Agregación'!A84,'Base de datos 2024 2'!$H$2:$H$143)</f>
        <v>2247.75</v>
      </c>
      <c r="C84" s="5">
        <f>COUNTIF('Base de datos 2024 2'!$C$2:$C$143,'Corrección - Agregación'!A84)</f>
        <v>1</v>
      </c>
    </row>
    <row r="85" spans="1:3" x14ac:dyDescent="0.2">
      <c r="A85" s="5">
        <v>180</v>
      </c>
      <c r="B85" s="5">
        <f>AVERAGEIF('Base de datos 2024 2'!$C$2:$C$143,'Corrección - Agregación'!A85,'Base de datos 2024 2'!$H$2:$H$143)</f>
        <v>2290.5</v>
      </c>
      <c r="C85" s="5">
        <f>COUNTIF('Base de datos 2024 2'!$C$2:$C$143,'Corrección - Agregación'!A85)</f>
        <v>1</v>
      </c>
    </row>
    <row r="86" spans="1:3" x14ac:dyDescent="0.2">
      <c r="A86" s="5">
        <v>125</v>
      </c>
      <c r="B86" s="5">
        <f>AVERAGEIF('Base de datos 2024 2'!$C$2:$C$143,'Corrección - Agregación'!A86,'Base de datos 2024 2'!$H$2:$H$143)</f>
        <v>2083.5</v>
      </c>
      <c r="C86" s="5">
        <f>COUNTIF('Base de datos 2024 2'!$C$2:$C$143,'Corrección - Agregación'!A86)</f>
        <v>1</v>
      </c>
    </row>
    <row r="87" spans="1:3" x14ac:dyDescent="0.2">
      <c r="A87" s="5">
        <v>64</v>
      </c>
      <c r="B87" s="5">
        <f>AVERAGEIF('Base de datos 2024 2'!$C$2:$C$143,'Corrección - Agregación'!A87,'Base de datos 2024 2'!$H$2:$H$143)</f>
        <v>2229.75</v>
      </c>
      <c r="C87" s="5">
        <f>COUNTIF('Base de datos 2024 2'!$C$2:$C$143,'Corrección - Agregación'!A87)</f>
        <v>1</v>
      </c>
    </row>
    <row r="88" spans="1:3" x14ac:dyDescent="0.2">
      <c r="A88" s="5">
        <v>50</v>
      </c>
      <c r="B88" s="5">
        <f>AVERAGEIF('Base de datos 2024 2'!$C$2:$C$143,'Corrección - Agregación'!A88,'Base de datos 2024 2'!$H$2:$H$143)</f>
        <v>2943</v>
      </c>
      <c r="C88" s="5">
        <f>COUNTIF('Base de datos 2024 2'!$C$2:$C$143,'Corrección - Agregación'!A88)</f>
        <v>1</v>
      </c>
    </row>
    <row r="89" spans="1:3" x14ac:dyDescent="0.2">
      <c r="A89" s="5">
        <v>128</v>
      </c>
      <c r="B89" s="5">
        <f>AVERAGEIF('Base de datos 2024 2'!$C$2:$C$143,'Corrección - Agregación'!A89,'Base de datos 2024 2'!$H$2:$H$143)</f>
        <v>2983.5</v>
      </c>
      <c r="C89" s="5">
        <f>COUNTIF('Base de datos 2024 2'!$C$2:$C$143,'Corrección - Agregación'!A89)</f>
        <v>1</v>
      </c>
    </row>
    <row r="90" spans="1:3" x14ac:dyDescent="0.2">
      <c r="A90" s="5">
        <v>61</v>
      </c>
      <c r="B90" s="5">
        <f>AVERAGEIF('Base de datos 2024 2'!$C$2:$C$143,'Corrección - Agregación'!A90,'Base de datos 2024 2'!$H$2:$H$143)</f>
        <v>1723.5</v>
      </c>
      <c r="C90" s="5">
        <f>COUNTIF('Base de datos 2024 2'!$C$2:$C$143,'Corrección - Agregación'!A90)</f>
        <v>1</v>
      </c>
    </row>
    <row r="91" spans="1:3" x14ac:dyDescent="0.2">
      <c r="A91" s="5">
        <v>177</v>
      </c>
      <c r="B91" s="5">
        <f>AVERAGEIF('Base de datos 2024 2'!$C$2:$C$143,'Corrección - Agregación'!A91,'Base de datos 2024 2'!$H$2:$H$143)</f>
        <v>1433.25</v>
      </c>
      <c r="C91" s="5">
        <f>COUNTIF('Base de datos 2024 2'!$C$2:$C$143,'Corrección - Agregación'!A91)</f>
        <v>1</v>
      </c>
    </row>
    <row r="92" spans="1:3" x14ac:dyDescent="0.2">
      <c r="A92" s="5">
        <v>190</v>
      </c>
      <c r="B92" s="5">
        <f>AVERAGEIF('Base de datos 2024 2'!$C$2:$C$143,'Corrección - Agregación'!A92,'Base de datos 2024 2'!$H$2:$H$143)</f>
        <v>2021.625</v>
      </c>
      <c r="C92" s="5">
        <f>COUNTIF('Base de datos 2024 2'!$C$2:$C$143,'Corrección - Agregación'!A92)</f>
        <v>2</v>
      </c>
    </row>
    <row r="93" spans="1:3" x14ac:dyDescent="0.2">
      <c r="A93" s="5">
        <v>188</v>
      </c>
      <c r="B93" s="5">
        <f>AVERAGEIF('Base de datos 2024 2'!$C$2:$C$143,'Corrección - Agregación'!A93,'Base de datos 2024 2'!$H$2:$H$143)</f>
        <v>3159</v>
      </c>
      <c r="C93" s="5">
        <f>COUNTIF('Base de datos 2024 2'!$C$2:$C$143,'Corrección - Agregación'!A93)</f>
        <v>1</v>
      </c>
    </row>
    <row r="94" spans="1:3" x14ac:dyDescent="0.2">
      <c r="A94" s="5">
        <v>105</v>
      </c>
      <c r="B94" s="5">
        <f>AVERAGEIF('Base de datos 2024 2'!$C$2:$C$143,'Corrección - Agregación'!A94,'Base de datos 2024 2'!$H$2:$H$143)</f>
        <v>2871</v>
      </c>
      <c r="C94" s="5">
        <f>COUNTIF('Base de datos 2024 2'!$C$2:$C$143,'Corrección - Agregación'!A94)</f>
        <v>1</v>
      </c>
    </row>
    <row r="95" spans="1:3" x14ac:dyDescent="0.2">
      <c r="A95" s="5">
        <v>98</v>
      </c>
      <c r="B95" s="5">
        <f>AVERAGEIF('Base de datos 2024 2'!$C$2:$C$143,'Corrección - Agregación'!A95,'Base de datos 2024 2'!$H$2:$H$143)</f>
        <v>2931.75</v>
      </c>
      <c r="C95" s="5">
        <f>COUNTIF('Base de datos 2024 2'!$C$2:$C$143,'Corrección - Agregación'!A95)</f>
        <v>1</v>
      </c>
    </row>
    <row r="96" spans="1:3" x14ac:dyDescent="0.2">
      <c r="A96" s="5">
        <v>210</v>
      </c>
      <c r="B96" s="5">
        <f>AVERAGEIF('Base de datos 2024 2'!$C$2:$C$143,'Corrección - Agregación'!A96,'Base de datos 2024 2'!$H$2:$H$143)</f>
        <v>2117.25</v>
      </c>
      <c r="C96" s="5">
        <f>COUNTIF('Base de datos 2024 2'!$C$2:$C$143,'Corrección - Agregación'!A96)</f>
        <v>1</v>
      </c>
    </row>
    <row r="97" spans="1:3" x14ac:dyDescent="0.2">
      <c r="A97" s="5">
        <v>96</v>
      </c>
      <c r="B97" s="5">
        <f>AVERAGEIF('Base de datos 2024 2'!$C$2:$C$143,'Corrección - Agregación'!A97,'Base de datos 2024 2'!$H$2:$H$143)</f>
        <v>1719</v>
      </c>
      <c r="C97" s="5">
        <f>COUNTIF('Base de datos 2024 2'!$C$2:$C$143,'Corrección - Agregación'!A97)</f>
        <v>1</v>
      </c>
    </row>
    <row r="98" spans="1:3" x14ac:dyDescent="0.2">
      <c r="A98" s="5">
        <v>56</v>
      </c>
      <c r="B98" s="5">
        <f>AVERAGEIF('Base de datos 2024 2'!$C$2:$C$143,'Corrección - Agregación'!A98,'Base de datos 2024 2'!$H$2:$H$143)</f>
        <v>3001.5</v>
      </c>
      <c r="C98" s="5">
        <f>COUNTIF('Base de datos 2024 2'!$C$2:$C$143,'Corrección - Agregación'!A98)</f>
        <v>1</v>
      </c>
    </row>
    <row r="99" spans="1:3" x14ac:dyDescent="0.2">
      <c r="A99" s="5">
        <v>147</v>
      </c>
      <c r="B99" s="5">
        <f>AVERAGEIF('Base de datos 2024 2'!$C$2:$C$143,'Corrección - Agregación'!A99,'Base de datos 2024 2'!$H$2:$H$143)</f>
        <v>1815.75</v>
      </c>
      <c r="C99" s="5">
        <f>COUNTIF('Base de datos 2024 2'!$C$2:$C$143,'Corrección - Agregación'!A99)</f>
        <v>1</v>
      </c>
    </row>
    <row r="100" spans="1:3" x14ac:dyDescent="0.2">
      <c r="A100" s="5">
        <v>137</v>
      </c>
      <c r="B100" s="5">
        <f>AVERAGEIF('Base de datos 2024 2'!$C$2:$C$143,'Corrección - Agregación'!A100,'Base de datos 2024 2'!$H$2:$H$143)</f>
        <v>2722.5</v>
      </c>
      <c r="C100" s="5">
        <f>COUNTIF('Base de datos 2024 2'!$C$2:$C$143,'Corrección - Agregación'!A100)</f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FE03-EE81-431F-9FA9-4D0D972F93DD}">
  <sheetPr>
    <tabColor theme="8" tint="0.79998168889431442"/>
  </sheetPr>
  <dimension ref="A1"/>
  <sheetViews>
    <sheetView workbookViewId="0"/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2773-9252-473A-835D-C0348EC6B5D9}">
  <sheetPr>
    <tabColor theme="8" tint="0.79998168889431442"/>
  </sheetPr>
  <dimension ref="A1"/>
  <sheetViews>
    <sheetView workbookViewId="0"/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62836-9B98-4E1B-BBD0-ADF6839C3E7E}">
  <sheetPr>
    <tabColor theme="8" tint="0.59999389629810485"/>
  </sheetPr>
  <dimension ref="A1:R6"/>
  <sheetViews>
    <sheetView topLeftCell="F1" workbookViewId="0">
      <selection activeCell="I2" sqref="I2:I6"/>
    </sheetView>
  </sheetViews>
  <sheetFormatPr baseColWidth="10" defaultRowHeight="14.25" x14ac:dyDescent="0.2"/>
  <cols>
    <col min="1" max="1" width="4.875" bestFit="1" customWidth="1"/>
    <col min="4" max="4" width="15.375" customWidth="1"/>
    <col min="6" max="6" width="14.75" customWidth="1"/>
    <col min="8" max="8" width="11.75" customWidth="1"/>
    <col min="9" max="9" width="13.625" customWidth="1"/>
    <col min="10" max="10" width="12.125" customWidth="1"/>
    <col min="11" max="11" width="13.375" customWidth="1"/>
    <col min="12" max="12" width="12.25" customWidth="1"/>
    <col min="13" max="13" width="12.125" customWidth="1"/>
    <col min="14" max="14" width="18.375" customWidth="1"/>
    <col min="15" max="15" width="14.125" customWidth="1"/>
    <col min="16" max="16" width="12.75" customWidth="1"/>
    <col min="17" max="17" width="12.875" customWidth="1"/>
    <col min="18" max="18" width="12.875" bestFit="1" customWidth="1"/>
  </cols>
  <sheetData>
    <row r="1" spans="1:18" s="25" customFormat="1" ht="75" x14ac:dyDescent="0.25">
      <c r="A1" s="24"/>
      <c r="B1" s="23" t="s">
        <v>332</v>
      </c>
      <c r="C1" s="23" t="s">
        <v>333</v>
      </c>
      <c r="D1" s="23" t="s">
        <v>334</v>
      </c>
      <c r="E1" s="23" t="s">
        <v>335</v>
      </c>
      <c r="F1" s="23" t="s">
        <v>336</v>
      </c>
      <c r="G1" s="23" t="s">
        <v>337</v>
      </c>
      <c r="H1" s="23" t="s">
        <v>338</v>
      </c>
      <c r="I1" s="23" t="s">
        <v>339</v>
      </c>
      <c r="J1" s="23" t="s">
        <v>340</v>
      </c>
      <c r="K1" s="23" t="s">
        <v>341</v>
      </c>
      <c r="L1" s="23" t="s">
        <v>342</v>
      </c>
      <c r="M1" s="23" t="s">
        <v>344</v>
      </c>
      <c r="N1" s="23" t="s">
        <v>12</v>
      </c>
      <c r="O1" s="23" t="s">
        <v>6</v>
      </c>
      <c r="P1" s="23" t="s">
        <v>17</v>
      </c>
      <c r="Q1" s="23" t="s">
        <v>4</v>
      </c>
      <c r="R1" s="23" t="s">
        <v>343</v>
      </c>
    </row>
    <row r="2" spans="1:18" ht="15" x14ac:dyDescent="0.25">
      <c r="A2" s="5">
        <v>2020</v>
      </c>
      <c r="B2" s="14">
        <v>800</v>
      </c>
      <c r="C2" s="14">
        <v>9650.5</v>
      </c>
      <c r="D2" s="14">
        <v>14520</v>
      </c>
      <c r="E2" s="14">
        <v>30000</v>
      </c>
      <c r="F2" s="14">
        <v>5000</v>
      </c>
      <c r="G2" s="14">
        <v>2100.7199999999998</v>
      </c>
      <c r="H2" s="14">
        <v>0</v>
      </c>
      <c r="I2" s="14">
        <v>12250</v>
      </c>
      <c r="J2" s="14">
        <v>1750</v>
      </c>
      <c r="K2" s="14">
        <v>7000</v>
      </c>
      <c r="L2" s="14">
        <v>1000</v>
      </c>
      <c r="M2" s="22">
        <f>SUM(B2:L2)</f>
        <v>84071.22</v>
      </c>
      <c r="N2" s="14">
        <f>(66400/79714)*N6</f>
        <v>280125.46855006646</v>
      </c>
      <c r="O2" s="14">
        <f>(48000/78896)*O6</f>
        <v>87131.413506388155</v>
      </c>
      <c r="P2" s="14">
        <f>(72500/96598)*P6</f>
        <v>204318.19887575312</v>
      </c>
      <c r="Q2" s="14">
        <f>(262575/407181)*Q6</f>
        <v>409373.01052848733</v>
      </c>
      <c r="R2" s="22">
        <f>SUM(N2:Q2)</f>
        <v>980948.09146069502</v>
      </c>
    </row>
    <row r="3" spans="1:18" ht="15" x14ac:dyDescent="0.25">
      <c r="A3" s="5">
        <v>2021</v>
      </c>
      <c r="B3" s="14">
        <v>820</v>
      </c>
      <c r="C3" s="14">
        <v>3070.5</v>
      </c>
      <c r="D3" s="14">
        <v>14880.3</v>
      </c>
      <c r="E3" s="14">
        <v>30750</v>
      </c>
      <c r="F3" s="14">
        <v>5120.5</v>
      </c>
      <c r="G3" s="14">
        <v>0</v>
      </c>
      <c r="H3" s="14">
        <v>10000</v>
      </c>
      <c r="I3" s="14">
        <v>14350</v>
      </c>
      <c r="J3" s="14">
        <v>1790.38</v>
      </c>
      <c r="K3" s="14">
        <v>8200</v>
      </c>
      <c r="L3" s="14">
        <v>1020.5</v>
      </c>
      <c r="M3" s="22">
        <f>SUM(B3:L3)</f>
        <v>90002.180000000008</v>
      </c>
      <c r="N3" s="14">
        <f>(70444/79714)*N6</f>
        <v>297186.12208645913</v>
      </c>
      <c r="O3" s="14">
        <f>(58339/78896)*O6</f>
        <v>105899.1569281079</v>
      </c>
      <c r="P3" s="14">
        <f>(79156/96598)*P6</f>
        <v>223076.01862357397</v>
      </c>
      <c r="Q3" s="14">
        <f>(289384/407181)*Q6</f>
        <v>451170.13911749324</v>
      </c>
      <c r="R3" s="22">
        <f>SUM(N3:Q3)</f>
        <v>1077331.4367556341</v>
      </c>
    </row>
    <row r="4" spans="1:18" ht="15" x14ac:dyDescent="0.25">
      <c r="A4" s="5">
        <v>2022</v>
      </c>
      <c r="B4" s="14">
        <v>1680.1</v>
      </c>
      <c r="C4" s="14">
        <v>3150.19</v>
      </c>
      <c r="D4" s="14">
        <v>15250.51</v>
      </c>
      <c r="E4" s="14">
        <v>37820.25</v>
      </c>
      <c r="F4" s="14">
        <v>5250.31</v>
      </c>
      <c r="G4" s="14">
        <v>0</v>
      </c>
      <c r="H4" s="14">
        <v>10250</v>
      </c>
      <c r="I4" s="14">
        <v>16540.740000000002</v>
      </c>
      <c r="J4" s="14">
        <v>3670.72</v>
      </c>
      <c r="K4" s="14">
        <v>9450.56</v>
      </c>
      <c r="L4" s="14">
        <v>2100.13</v>
      </c>
      <c r="M4" s="22">
        <f>SUM(B4:L4)</f>
        <v>105163.51000000001</v>
      </c>
      <c r="N4" s="14">
        <f>(73649/79714)*N6</f>
        <v>310707.23845246754</v>
      </c>
      <c r="O4" s="14">
        <f>(68767/78896)*O6</f>
        <v>124828.45651237071</v>
      </c>
      <c r="P4" s="14">
        <f>(89248/96598)*P6</f>
        <v>251517.11190707883</v>
      </c>
      <c r="Q4" s="14">
        <f>(289384/407181)*Q6</f>
        <v>451170.13911749324</v>
      </c>
      <c r="R4" s="22">
        <f>SUM(N4:Q4)</f>
        <v>1138222.9459894104</v>
      </c>
    </row>
    <row r="5" spans="1:18" ht="15" x14ac:dyDescent="0.25">
      <c r="A5" s="5">
        <v>2023</v>
      </c>
      <c r="B5" s="14">
        <v>1720.3</v>
      </c>
      <c r="C5" s="14">
        <v>3230.07</v>
      </c>
      <c r="D5" s="14">
        <v>15630.65</v>
      </c>
      <c r="E5" s="14">
        <v>38760.81</v>
      </c>
      <c r="F5" s="14">
        <v>5380.45</v>
      </c>
      <c r="G5" s="14">
        <v>0</v>
      </c>
      <c r="H5" s="14">
        <v>10500.63</v>
      </c>
      <c r="I5" s="14">
        <v>18840.560000000001</v>
      </c>
      <c r="J5" s="14">
        <v>5650.37</v>
      </c>
      <c r="K5" s="14">
        <v>10760.89</v>
      </c>
      <c r="L5" s="14">
        <v>3230.07</v>
      </c>
      <c r="M5" s="22">
        <f>SUM(B5:L5)</f>
        <v>113704.8</v>
      </c>
      <c r="N5" s="14">
        <f>(77000/79714)*N6</f>
        <v>324844.29334872169</v>
      </c>
      <c r="O5" s="14">
        <f>(74011/78896)*O6</f>
        <v>134347.56343794361</v>
      </c>
      <c r="P5" s="14">
        <f>(93309/96598)*P6</f>
        <v>262961.74922617443</v>
      </c>
      <c r="Q5" s="14">
        <f>(378333/407181)*Q6</f>
        <v>589847.9260869245</v>
      </c>
      <c r="R5" s="22">
        <f>SUM(N5:Q5)</f>
        <v>1312001.5320997643</v>
      </c>
    </row>
    <row r="6" spans="1:18" ht="15" x14ac:dyDescent="0.25">
      <c r="A6" s="5">
        <v>2024</v>
      </c>
      <c r="B6" s="14">
        <v>2640.92</v>
      </c>
      <c r="C6" s="14">
        <v>3310.14</v>
      </c>
      <c r="D6" s="14">
        <v>16020.74</v>
      </c>
      <c r="E6" s="14">
        <v>46360.01</v>
      </c>
      <c r="F6" s="14">
        <v>5510.91</v>
      </c>
      <c r="G6" s="14">
        <v>0</v>
      </c>
      <c r="H6" s="14">
        <v>10760.89</v>
      </c>
      <c r="I6" s="14">
        <v>23180.01</v>
      </c>
      <c r="J6" s="14">
        <v>5790.5</v>
      </c>
      <c r="K6" s="14">
        <v>13240.57</v>
      </c>
      <c r="L6" s="14">
        <v>3310.15</v>
      </c>
      <c r="M6" s="22">
        <f>SUM(B6:L6)</f>
        <v>130124.84</v>
      </c>
      <c r="N6" s="14">
        <f>SUMIF(Tabla1[Segmento de cliente],'Base de datos histórica'!N1,Tabla1[Valor total de la operación])</f>
        <v>336294</v>
      </c>
      <c r="O6" s="14">
        <f>SUMIF(Tabla1[Segmento de cliente],'Base de datos histórica'!O1,Tabla1[Valor total de la operación])</f>
        <v>143215</v>
      </c>
      <c r="P6" s="14">
        <f>SUMIF(Tabla1[Segmento de cliente],'Base de datos histórica'!P1,Tabla1[Valor total de la operación])</f>
        <v>272230.75</v>
      </c>
      <c r="Q6" s="14">
        <f>SUMIF(Tabla1[Segmento de cliente],'Base de datos histórica'!Q1,Tabla1[Valor total de la operación])</f>
        <v>634824</v>
      </c>
      <c r="R6" s="22">
        <f>SUM(N6:Q6)</f>
        <v>1386563.75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44DB-9063-4295-BD88-DB9910F9B469}">
  <sheetPr>
    <tabColor theme="8" tint="0.59999389629810485"/>
  </sheetPr>
  <dimension ref="A1"/>
  <sheetViews>
    <sheetView workbookViewId="0"/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D5CA-F835-4244-8CD6-2E3203962E66}">
  <sheetPr>
    <tabColor theme="8" tint="0.59999389629810485"/>
  </sheetPr>
  <dimension ref="B2:J19"/>
  <sheetViews>
    <sheetView showGridLines="0" workbookViewId="0"/>
  </sheetViews>
  <sheetFormatPr baseColWidth="10" defaultRowHeight="14.25" x14ac:dyDescent="0.2"/>
  <cols>
    <col min="2" max="2" width="29.125" bestFit="1" customWidth="1"/>
    <col min="3" max="3" width="16.5" bestFit="1" customWidth="1"/>
    <col min="4" max="4" width="18" bestFit="1" customWidth="1"/>
    <col min="5" max="5" width="24" bestFit="1" customWidth="1"/>
    <col min="6" max="6" width="11.875" bestFit="1" customWidth="1"/>
    <col min="7" max="7" width="15.125" bestFit="1" customWidth="1"/>
    <col min="8" max="8" width="12.375" bestFit="1" customWidth="1"/>
    <col min="9" max="9" width="12.625" bestFit="1" customWidth="1"/>
    <col min="10" max="10" width="13.875" bestFit="1" customWidth="1"/>
  </cols>
  <sheetData>
    <row r="2" spans="2:7" x14ac:dyDescent="0.2">
      <c r="B2" t="s">
        <v>308</v>
      </c>
    </row>
    <row r="4" spans="2:7" ht="15" x14ac:dyDescent="0.25">
      <c r="B4" s="35" t="s">
        <v>309</v>
      </c>
      <c r="C4" s="34"/>
    </row>
    <row r="5" spans="2:7" x14ac:dyDescent="0.2">
      <c r="B5" t="s">
        <v>310</v>
      </c>
      <c r="C5">
        <v>0.97474144729795764</v>
      </c>
    </row>
    <row r="6" spans="2:7" x14ac:dyDescent="0.2">
      <c r="B6" t="s">
        <v>311</v>
      </c>
      <c r="C6">
        <v>0.95012088908051706</v>
      </c>
    </row>
    <row r="7" spans="2:7" x14ac:dyDescent="0.2">
      <c r="B7" t="s">
        <v>312</v>
      </c>
      <c r="C7">
        <v>0.93349451877402279</v>
      </c>
    </row>
    <row r="8" spans="2:7" x14ac:dyDescent="0.2">
      <c r="B8" t="s">
        <v>289</v>
      </c>
      <c r="C8">
        <v>5721.3177715346083</v>
      </c>
    </row>
    <row r="9" spans="2:7" ht="15" thickBot="1" x14ac:dyDescent="0.25">
      <c r="B9" s="7" t="s">
        <v>313</v>
      </c>
      <c r="C9" s="7">
        <v>5</v>
      </c>
    </row>
    <row r="11" spans="2:7" ht="15.75" thickBot="1" x14ac:dyDescent="0.3">
      <c r="B11" s="36" t="s">
        <v>314</v>
      </c>
      <c r="C11" s="37"/>
    </row>
    <row r="12" spans="2:7" x14ac:dyDescent="0.2">
      <c r="B12" s="26"/>
      <c r="C12" s="26" t="s">
        <v>319</v>
      </c>
      <c r="D12" s="26" t="s">
        <v>320</v>
      </c>
      <c r="E12" s="26" t="s">
        <v>321</v>
      </c>
      <c r="F12" s="26" t="s">
        <v>322</v>
      </c>
      <c r="G12" s="26" t="s">
        <v>323</v>
      </c>
    </row>
    <row r="13" spans="2:7" x14ac:dyDescent="0.2">
      <c r="B13" t="s">
        <v>315</v>
      </c>
      <c r="C13">
        <v>1</v>
      </c>
      <c r="D13">
        <v>1870568244.1421163</v>
      </c>
      <c r="E13">
        <v>1870568244.1421163</v>
      </c>
      <c r="F13">
        <v>57.145418486763568</v>
      </c>
      <c r="G13">
        <v>4.8005857839324342E-3</v>
      </c>
    </row>
    <row r="14" spans="2:7" x14ac:dyDescent="0.2">
      <c r="B14" t="s">
        <v>316</v>
      </c>
      <c r="C14">
        <v>3</v>
      </c>
      <c r="D14">
        <v>98200431.128633216</v>
      </c>
      <c r="E14">
        <v>32733477.042877737</v>
      </c>
    </row>
    <row r="15" spans="2:7" ht="15" thickBot="1" x14ac:dyDescent="0.25">
      <c r="B15" s="7" t="s">
        <v>317</v>
      </c>
      <c r="C15" s="7">
        <v>4</v>
      </c>
      <c r="D15" s="7">
        <v>1968768675.2707496</v>
      </c>
      <c r="E15" s="7"/>
      <c r="F15" s="7"/>
      <c r="G15" s="7"/>
    </row>
    <row r="16" spans="2:7" ht="15" thickBot="1" x14ac:dyDescent="0.25"/>
    <row r="17" spans="2:10" x14ac:dyDescent="0.2">
      <c r="B17" s="26"/>
      <c r="C17" s="26" t="s">
        <v>324</v>
      </c>
      <c r="D17" s="26" t="s">
        <v>289</v>
      </c>
      <c r="E17" s="26" t="s">
        <v>325</v>
      </c>
      <c r="F17" s="26" t="s">
        <v>326</v>
      </c>
      <c r="G17" s="26" t="s">
        <v>327</v>
      </c>
      <c r="H17" s="26" t="s">
        <v>328</v>
      </c>
      <c r="I17" s="26" t="s">
        <v>329</v>
      </c>
      <c r="J17" s="26" t="s">
        <v>330</v>
      </c>
    </row>
    <row r="18" spans="2:10" x14ac:dyDescent="0.2">
      <c r="B18" t="s">
        <v>318</v>
      </c>
      <c r="C18">
        <v>222635.0314778075</v>
      </c>
      <c r="D18">
        <v>11815.114189995615</v>
      </c>
      <c r="E18">
        <v>18.843239929608341</v>
      </c>
      <c r="F18">
        <v>3.2630083265326103E-4</v>
      </c>
      <c r="G18">
        <v>185034.06497735082</v>
      </c>
      <c r="H18">
        <v>260235.99797826417</v>
      </c>
      <c r="I18">
        <v>185034.06497735082</v>
      </c>
      <c r="J18">
        <v>260235.99797826417</v>
      </c>
    </row>
    <row r="19" spans="2:10" ht="15" thickBot="1" x14ac:dyDescent="0.25">
      <c r="B19" s="7" t="s">
        <v>331</v>
      </c>
      <c r="C19" s="7">
        <v>5.119484012736268</v>
      </c>
      <c r="D19" s="7">
        <v>0.67722889921263774</v>
      </c>
      <c r="E19" s="7">
        <v>7.5594588752610834</v>
      </c>
      <c r="F19" s="7">
        <v>4.8005857839324342E-3</v>
      </c>
      <c r="G19" s="7">
        <v>2.9642394046056557</v>
      </c>
      <c r="H19" s="7">
        <v>7.2747286208668802</v>
      </c>
      <c r="I19" s="7">
        <v>2.9642394046056557</v>
      </c>
      <c r="J19" s="7">
        <v>7.2747286208668802</v>
      </c>
    </row>
  </sheetData>
  <mergeCells count="2">
    <mergeCell ref="B4:C4"/>
    <mergeCell ref="B11:C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7F4F-EC53-4874-81A2-1242E1BDB167}">
  <sheetPr>
    <tabColor theme="8" tint="0.39997558519241921"/>
  </sheetPr>
  <dimension ref="B2:D5"/>
  <sheetViews>
    <sheetView workbookViewId="0">
      <selection activeCell="D4" sqref="D4"/>
    </sheetView>
  </sheetViews>
  <sheetFormatPr baseColWidth="10" defaultRowHeight="14.25" x14ac:dyDescent="0.2"/>
  <cols>
    <col min="2" max="2" width="9.75" bestFit="1" customWidth="1"/>
    <col min="3" max="3" width="25.875" bestFit="1" customWidth="1"/>
  </cols>
  <sheetData>
    <row r="2" spans="2:4" ht="15" x14ac:dyDescent="0.25">
      <c r="B2" s="2" t="s">
        <v>348</v>
      </c>
      <c r="C2" s="2" t="s">
        <v>349</v>
      </c>
      <c r="D2" s="2" t="s">
        <v>350</v>
      </c>
    </row>
    <row r="3" spans="2:4" x14ac:dyDescent="0.2">
      <c r="B3" s="27" t="s">
        <v>345</v>
      </c>
      <c r="C3" s="28">
        <f>222635.0315+5.119484013*22345.94</f>
        <v>337034.71408545721</v>
      </c>
      <c r="D3" s="31">
        <f>(C3-C4)/C4</f>
        <v>-3.6343674086407228E-2</v>
      </c>
    </row>
    <row r="4" spans="2:4" x14ac:dyDescent="0.2">
      <c r="B4" s="29" t="s">
        <v>346</v>
      </c>
      <c r="C4" s="30">
        <v>349745.76</v>
      </c>
      <c r="D4" s="31"/>
    </row>
    <row r="5" spans="2:4" x14ac:dyDescent="0.2">
      <c r="B5" t="s">
        <v>347</v>
      </c>
      <c r="C5" s="1">
        <f>222635.0315+5.119484013*27311.7</f>
        <v>362456.84301785211</v>
      </c>
      <c r="D5" s="32">
        <f>(C5-C4)/C4</f>
        <v>3.6343780172923605E-2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Base de datos 2024</vt:lpstr>
      <vt:lpstr>Estadística Descriptiva 1</vt:lpstr>
      <vt:lpstr>Dist operaciones por segmento</vt:lpstr>
      <vt:lpstr>Peso segmento en términos monet</vt:lpstr>
      <vt:lpstr>Eventos particulares</vt:lpstr>
      <vt:lpstr>Estadística Descriptiva 2</vt:lpstr>
      <vt:lpstr>Base de datos 2024 2</vt:lpstr>
      <vt:lpstr>Corrección - Agregación</vt:lpstr>
      <vt:lpstr>1° Relación</vt:lpstr>
      <vt:lpstr>2° Relación</vt:lpstr>
      <vt:lpstr>Base de datos histórica</vt:lpstr>
      <vt:lpstr>3° Relación</vt:lpstr>
      <vt:lpstr>Análisis predictivo</vt:lpstr>
      <vt:lpstr>Análisis de 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Ignacio López López</cp:lastModifiedBy>
  <dcterms:modified xsi:type="dcterms:W3CDTF">2025-02-08T00:03:31Z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2024-12-04T18:11:17Z</dcterms:created>
  <cp:revision>0</cp:revision>
</cp:coreProperties>
</file>